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onhy\Downloads\"/>
    </mc:Choice>
  </mc:AlternateContent>
  <xr:revisionPtr revIDLastSave="0" documentId="8_{1BF6473D-4BF2-415B-8EA4-37A11CDE40BA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Hoja1" sheetId="1" r:id="rId1"/>
    <sheet name="Hoja4" sheetId="7" r:id="rId2"/>
    <sheet name="Hoja2" sheetId="2" r:id="rId3"/>
    <sheet name="Hoja3" sheetId="3" r:id="rId4"/>
    <sheet name="DATOS_COPIA" sheetId="6" r:id="rId5"/>
    <sheet name="Hoja2 (2)" sheetId="5" r:id="rId6"/>
    <sheet name="ejercicio 1 word " sheetId="8" r:id="rId7"/>
    <sheet name="ejercicio 2" sheetId="9" r:id="rId8"/>
  </sheets>
  <definedNames>
    <definedName name="_xlnm._FilterDatabase" localSheetId="2" hidden="1">Hoja2!$A$2:$G$12</definedName>
    <definedName name="_xlnm._FilterDatabase" localSheetId="5" hidden="1">'Hoja2 (2)'!$A$2:$G$12</definedName>
    <definedName name="_xlnm._FilterDatabase" localSheetId="3" hidden="1">Hoja3!$A$2:$N$53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" i="9" l="1"/>
  <c r="Q56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55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L17" i="8"/>
  <c r="L18" i="8"/>
  <c r="L19" i="8"/>
  <c r="L20" i="8"/>
  <c r="L21" i="8"/>
  <c r="L22" i="8"/>
  <c r="L23" i="8"/>
  <c r="L24" i="8"/>
  <c r="L25" i="8"/>
  <c r="L16" i="8"/>
  <c r="J17" i="8"/>
  <c r="J18" i="8"/>
  <c r="J19" i="8"/>
  <c r="J20" i="8"/>
  <c r="J21" i="8"/>
  <c r="J22" i="8"/>
  <c r="J23" i="8"/>
  <c r="J24" i="8"/>
  <c r="J25" i="8"/>
  <c r="J16" i="8"/>
  <c r="I17" i="7"/>
  <c r="I18" i="7"/>
  <c r="I19" i="7"/>
  <c r="I20" i="7"/>
  <c r="I21" i="7"/>
  <c r="I22" i="7"/>
  <c r="I23" i="7"/>
  <c r="I24" i="7"/>
  <c r="G24" i="7"/>
  <c r="G22" i="7"/>
  <c r="G18" i="7"/>
  <c r="G19" i="7"/>
  <c r="G20" i="7"/>
  <c r="G21" i="7"/>
  <c r="G23" i="7"/>
  <c r="G17" i="7"/>
  <c r="E61" i="3" l="1"/>
  <c r="N53" i="3"/>
  <c r="M53" i="3"/>
  <c r="F53" i="3"/>
  <c r="C36" i="5"/>
  <c r="D36" i="5"/>
  <c r="E36" i="5"/>
  <c r="F36" i="5"/>
  <c r="C37" i="5"/>
  <c r="D37" i="5"/>
  <c r="E37" i="5"/>
  <c r="F37" i="5"/>
  <c r="C38" i="5"/>
  <c r="D38" i="5"/>
  <c r="E38" i="5"/>
  <c r="F38" i="5"/>
  <c r="M25" i="5"/>
  <c r="M26" i="5"/>
  <c r="M27" i="5"/>
  <c r="M28" i="5"/>
  <c r="M29" i="5"/>
  <c r="M30" i="5"/>
  <c r="M31" i="5"/>
  <c r="M32" i="5"/>
  <c r="M33" i="5"/>
  <c r="M24" i="5"/>
  <c r="E27" i="5" l="1"/>
  <c r="E26" i="5"/>
  <c r="D32" i="5"/>
  <c r="D27" i="5"/>
  <c r="C25" i="5"/>
  <c r="C24" i="5"/>
  <c r="E33" i="5"/>
  <c r="C31" i="5"/>
  <c r="D30" i="5"/>
  <c r="E29" i="5"/>
  <c r="C27" i="5"/>
  <c r="G27" i="5" s="1"/>
  <c r="H27" i="5" s="1"/>
  <c r="D26" i="5"/>
  <c r="E25" i="5"/>
  <c r="D33" i="5"/>
  <c r="E32" i="5"/>
  <c r="C30" i="5"/>
  <c r="D29" i="5"/>
  <c r="E28" i="5"/>
  <c r="C26" i="5"/>
  <c r="D25" i="5"/>
  <c r="G25" i="5" s="1"/>
  <c r="H25" i="5" s="1"/>
  <c r="E24" i="5"/>
  <c r="C33" i="5"/>
  <c r="G33" i="5" s="1"/>
  <c r="H33" i="5" s="1"/>
  <c r="E31" i="5"/>
  <c r="C29" i="5"/>
  <c r="G29" i="5" s="1"/>
  <c r="H29" i="5" s="1"/>
  <c r="D28" i="5"/>
  <c r="D24" i="5"/>
  <c r="G24" i="5" s="1"/>
  <c r="H24" i="5" s="1"/>
  <c r="C32" i="5"/>
  <c r="G32" i="5" s="1"/>
  <c r="H32" i="5" s="1"/>
  <c r="D31" i="5"/>
  <c r="E30" i="5"/>
  <c r="C28" i="5"/>
  <c r="G28" i="5" s="1"/>
  <c r="H28" i="5" s="1"/>
  <c r="L23" i="2"/>
  <c r="L24" i="2"/>
  <c r="L25" i="2"/>
  <c r="L26" i="2"/>
  <c r="L27" i="2"/>
  <c r="L28" i="2"/>
  <c r="L29" i="2"/>
  <c r="L30" i="2"/>
  <c r="L31" i="2"/>
  <c r="L32" i="2"/>
  <c r="D35" i="2"/>
  <c r="E35" i="2"/>
  <c r="F35" i="2"/>
  <c r="D36" i="2"/>
  <c r="E36" i="2"/>
  <c r="F36" i="2"/>
  <c r="C36" i="2"/>
  <c r="D23" i="2" s="1"/>
  <c r="C35" i="2"/>
  <c r="C25" i="2" s="1"/>
  <c r="D24" i="2" l="1"/>
  <c r="G30" i="5"/>
  <c r="H30" i="5" s="1"/>
  <c r="G31" i="5"/>
  <c r="H31" i="5" s="1"/>
  <c r="G26" i="5"/>
  <c r="H26" i="5" s="1"/>
  <c r="D28" i="2"/>
  <c r="C32" i="2"/>
  <c r="C30" i="2"/>
  <c r="C28" i="2"/>
  <c r="F28" i="2" s="1"/>
  <c r="G28" i="2" s="1"/>
  <c r="C26" i="2"/>
  <c r="C24" i="2"/>
  <c r="D30" i="2"/>
  <c r="D26" i="2"/>
  <c r="C23" i="2"/>
  <c r="D31" i="2"/>
  <c r="D29" i="2"/>
  <c r="D27" i="2"/>
  <c r="D25" i="2"/>
  <c r="F25" i="2" s="1"/>
  <c r="G25" i="2" s="1"/>
  <c r="D32" i="2"/>
  <c r="C31" i="2"/>
  <c r="C29" i="2"/>
  <c r="C27" i="2"/>
  <c r="F32" i="2"/>
  <c r="G32" i="2" s="1"/>
  <c r="F24" i="2"/>
  <c r="G24" i="2" s="1"/>
  <c r="F23" i="2"/>
  <c r="G23" i="2" s="1"/>
  <c r="D34" i="1"/>
  <c r="D35" i="1"/>
  <c r="C35" i="1"/>
  <c r="C34" i="1"/>
  <c r="C24" i="1" s="1"/>
  <c r="F27" i="2" l="1"/>
  <c r="G27" i="2" s="1"/>
  <c r="F29" i="2"/>
  <c r="G29" i="2" s="1"/>
  <c r="F30" i="2"/>
  <c r="G30" i="2" s="1"/>
  <c r="F31" i="2"/>
  <c r="G31" i="2" s="1"/>
  <c r="F26" i="2"/>
  <c r="G26" i="2" s="1"/>
  <c r="D25" i="1"/>
  <c r="D29" i="1"/>
  <c r="D24" i="1"/>
  <c r="F24" i="1" s="1"/>
  <c r="D28" i="1"/>
  <c r="D26" i="1"/>
  <c r="D23" i="1"/>
  <c r="D27" i="1"/>
  <c r="D30" i="1"/>
  <c r="C23" i="1"/>
  <c r="F23" i="1" s="1"/>
  <c r="C27" i="1"/>
  <c r="F27" i="1" s="1"/>
  <c r="C29" i="1"/>
  <c r="F29" i="1" s="1"/>
  <c r="C25" i="1"/>
  <c r="F25" i="1" s="1"/>
  <c r="C30" i="1"/>
  <c r="C28" i="1"/>
  <c r="C26" i="1"/>
  <c r="F28" i="1" l="1"/>
  <c r="F26" i="1"/>
  <c r="F30" i="1"/>
</calcChain>
</file>

<file path=xl/sharedStrings.xml><?xml version="1.0" encoding="utf-8"?>
<sst xmlns="http://schemas.openxmlformats.org/spreadsheetml/2006/main" count="538" uniqueCount="185">
  <si>
    <t>Ejemplo de la presentación en Youtube</t>
  </si>
  <si>
    <t xml:space="preserve">cantidad de personas </t>
  </si>
  <si>
    <t>nombre</t>
  </si>
  <si>
    <t>Edad</t>
  </si>
  <si>
    <t xml:space="preserve">interaccciones </t>
  </si>
  <si>
    <t>Luis</t>
  </si>
  <si>
    <t xml:space="preserve">Sergio </t>
  </si>
  <si>
    <t>Hugo</t>
  </si>
  <si>
    <t>Mario</t>
  </si>
  <si>
    <t>Ana</t>
  </si>
  <si>
    <t xml:space="preserve">Pedro </t>
  </si>
  <si>
    <t>Lilia</t>
  </si>
  <si>
    <t>Paulina</t>
  </si>
  <si>
    <t xml:space="preserve">PASO 1) Numero de grupos </t>
  </si>
  <si>
    <t>K = 2 grupos</t>
  </si>
  <si>
    <t xml:space="preserve">PASO 2) </t>
  </si>
  <si>
    <t>Centros originales</t>
  </si>
  <si>
    <t>Centro 1</t>
  </si>
  <si>
    <t>Centro 2</t>
  </si>
  <si>
    <t>PASO 3) DISTANCIAS</t>
  </si>
  <si>
    <t>PASO 4) GRUPOS</t>
  </si>
  <si>
    <t xml:space="preserve">PASO 5) COPIAR </t>
  </si>
  <si>
    <t>CENTRO 1</t>
  </si>
  <si>
    <t xml:space="preserve">CENTRO 2 </t>
  </si>
  <si>
    <t>PASO 6) NUEVOS CENTROS</t>
  </si>
  <si>
    <t>Resultado</t>
  </si>
  <si>
    <t>Grupo 1</t>
  </si>
  <si>
    <t>Grupo 2</t>
  </si>
  <si>
    <t xml:space="preserve"> </t>
  </si>
  <si>
    <t xml:space="preserve">paso 1) orden original </t>
  </si>
  <si>
    <t xml:space="preserve">paso 2) nuevo orden </t>
  </si>
  <si>
    <t>paso 3) Distancias</t>
  </si>
  <si>
    <t>paso 4) Relacion</t>
  </si>
  <si>
    <t>paso 5) Relaciones ordenadas</t>
  </si>
  <si>
    <t>Paso 6) Puntos</t>
  </si>
  <si>
    <t>x</t>
  </si>
  <si>
    <t>y</t>
  </si>
  <si>
    <t>4 y 6</t>
  </si>
  <si>
    <t>2 y 8</t>
  </si>
  <si>
    <t>7 y 1</t>
  </si>
  <si>
    <t>5 y 7</t>
  </si>
  <si>
    <t>8 y 3</t>
  </si>
  <si>
    <t>1 y 4</t>
  </si>
  <si>
    <t>3 y 5</t>
  </si>
  <si>
    <t xml:space="preserve">Grupos </t>
  </si>
  <si>
    <t>Grupo 3</t>
  </si>
  <si>
    <t>Ejercicio 1 de la actividad # 3</t>
  </si>
  <si>
    <t>numero de planta</t>
  </si>
  <si>
    <t>largo de separación</t>
  </si>
  <si>
    <t xml:space="preserve">ancho de separación </t>
  </si>
  <si>
    <t xml:space="preserve">ancho de pétalo </t>
  </si>
  <si>
    <t>lago de pétalo</t>
  </si>
  <si>
    <t>grupos</t>
  </si>
  <si>
    <t xml:space="preserve">Paso 1 ) Definir grupos </t>
  </si>
  <si>
    <t xml:space="preserve">   k = 2</t>
  </si>
  <si>
    <t>Paso 2 ) Centros</t>
  </si>
  <si>
    <t>centro 1</t>
  </si>
  <si>
    <t xml:space="preserve">centro 2 </t>
  </si>
  <si>
    <t xml:space="preserve">Paso 3 ) Distancias </t>
  </si>
  <si>
    <t>Paso 4 ) Grupos</t>
  </si>
  <si>
    <t>Paso 5 ) Copiar</t>
  </si>
  <si>
    <t>centro 2</t>
  </si>
  <si>
    <t>MINIMO</t>
  </si>
  <si>
    <t xml:space="preserve">comparar </t>
  </si>
  <si>
    <t>Paso 6) nuevos centros</t>
  </si>
  <si>
    <t xml:space="preserve">Resultado </t>
  </si>
  <si>
    <t>Ejercicio 2 Base de datos</t>
  </si>
  <si>
    <t>EMPLEADO</t>
  </si>
  <si>
    <t>NUMERO DE EMPLEADO</t>
  </si>
  <si>
    <t>NOMBRE</t>
  </si>
  <si>
    <t>EDAD</t>
  </si>
  <si>
    <t>MES DE NACIMIENTO</t>
  </si>
  <si>
    <t>MESES LABORANDO EN LA EMPRESA</t>
  </si>
  <si>
    <t>NUMERO DE HIJOS</t>
  </si>
  <si>
    <t>SUELDO QUINCENAL</t>
  </si>
  <si>
    <t>DIAS QUE HA LLEGADO TARDE</t>
  </si>
  <si>
    <t>DIAS DE INCAPACIDAD</t>
  </si>
  <si>
    <t>NUMERO DE EMPLEOS ANTERIORES</t>
  </si>
  <si>
    <t>MARCA DE AUTO</t>
  </si>
  <si>
    <t>COLOR DE AUTO</t>
  </si>
  <si>
    <t>ALVAREZ GARCIA ANA PAOLA</t>
  </si>
  <si>
    <t>AYALA ROBLEDO MARIO CESAR</t>
  </si>
  <si>
    <t>BAEZ LUEVANO VALERIA</t>
  </si>
  <si>
    <t>BENAVIDES GARZA VERONICA DANIELA</t>
  </si>
  <si>
    <t>CAMACHO SARACHO ULISES</t>
  </si>
  <si>
    <t>CANALES BELMARES VALERIA</t>
  </si>
  <si>
    <t>CANO SANDOVAL MIRKA SOFIA</t>
  </si>
  <si>
    <t>CASTAÑEDA RUIZ NATHALY CELINA</t>
  </si>
  <si>
    <t>COTA CAMPOS DIEGO ANTONIO</t>
  </si>
  <si>
    <t>COVARRUBIAS NEVEU ARMANDO</t>
  </si>
  <si>
    <t>CRUZ CARREON VANESA ELIZABETH</t>
  </si>
  <si>
    <t>ELIZONDO ALMAZAN ADRIAN ANTONIO</t>
  </si>
  <si>
    <t>ELIZONDO MARTINEZ PATRICIO</t>
  </si>
  <si>
    <t>ESCAMILLA MAR FERNANDO GUADALUPE</t>
  </si>
  <si>
    <t>FLORES CANDANOZA PAOLA ANGELICA</t>
  </si>
  <si>
    <t>FLORES RAMOS THIARA BEATRIZ</t>
  </si>
  <si>
    <t>GARCIA BRIONES VANESSA ALEJANDRA</t>
  </si>
  <si>
    <t>GOMEZ MORENO EMILIO</t>
  </si>
  <si>
    <t>GUTIERREZ ROJAS ANA FERNANDA</t>
  </si>
  <si>
    <t>HERNANDEZ RODRIGUEZ ALDO FRANCISCO</t>
  </si>
  <si>
    <t>HUERTA LOPEZ JESSICA ISABEL</t>
  </si>
  <si>
    <t>JIMENEZ ALVAREZ SANTIAGO</t>
  </si>
  <si>
    <t>JUAREZ ANGUIANO MILDRED ANELISSE</t>
  </si>
  <si>
    <t>LOREDO SALINAS JOSHUA ALEXANDER</t>
  </si>
  <si>
    <t>MALDONADO LEYVA ALONDRA ZURIEL</t>
  </si>
  <si>
    <t>MARROQUIN PACHECO JUAN DANIEL</t>
  </si>
  <si>
    <t>MARTINEZ JOSE LUIS</t>
  </si>
  <si>
    <t>MARTINEZ COLIN KASSANDRA LIZET</t>
  </si>
  <si>
    <t>MARTINEZ CRUZ ALAN ISAI</t>
  </si>
  <si>
    <t>MARTINEZ ESQUIVEL JACQUELINE</t>
  </si>
  <si>
    <t>MARTINEZ GARCIA MAURICIO ALEJANDRO</t>
  </si>
  <si>
    <t>MARTINEZ LUCIO DIEGO ALFONSO</t>
  </si>
  <si>
    <t>MARTINEZ PEREZ JESUS ABRAHAM</t>
  </si>
  <si>
    <t>MARTINEZ RODRIGUEZ MILTON ISAU</t>
  </si>
  <si>
    <t>OLIVA GARCIA CAMILA MARLEN</t>
  </si>
  <si>
    <t>PASSANO PEÑA FIORELLA CAROLINA</t>
  </si>
  <si>
    <t>PINEDA ROMAN JORGE OSVALDO</t>
  </si>
  <si>
    <t>RAMIREZ LEYVA SAMUEL</t>
  </si>
  <si>
    <t>REYES REYES SHELLZY ALICIA</t>
  </si>
  <si>
    <t>RIVERA AVILA LINDA CHELSEA</t>
  </si>
  <si>
    <t>ROBLES FLORES ALEXIS RAFAEL</t>
  </si>
  <si>
    <t>ROSALES PEREZ VALERIA</t>
  </si>
  <si>
    <t>SANCHEZ AGUILAR JAROD AMIR</t>
  </si>
  <si>
    <t>SANCHEZ MALDONADO JORGE MANUEL</t>
  </si>
  <si>
    <t>SANCHEZ PITONES DIEGO</t>
  </si>
  <si>
    <t>SEPULVEDA GARZA ESMERALDA</t>
  </si>
  <si>
    <t>TORRES FLORES LESLY MONSERRATH</t>
  </si>
  <si>
    <t>VEGA SANCHEZ EDNA VALERIA</t>
  </si>
  <si>
    <t>VILLARREAL MENDOZA GERARDO PATRICIO</t>
  </si>
  <si>
    <t>VILLARREAL REYES KARINA ALEJANDRA</t>
  </si>
  <si>
    <t>Paso 1 Definir grupos</t>
  </si>
  <si>
    <t>K = 3</t>
  </si>
  <si>
    <t>Paso 2 Centros</t>
  </si>
  <si>
    <t>Centro 3</t>
  </si>
  <si>
    <t>Paso 3 Distancias</t>
  </si>
  <si>
    <t xml:space="preserve">enero </t>
  </si>
  <si>
    <t>NISSAN</t>
  </si>
  <si>
    <t>rojo</t>
  </si>
  <si>
    <t>mayo</t>
  </si>
  <si>
    <t>CHRYSLER</t>
  </si>
  <si>
    <t>blanco</t>
  </si>
  <si>
    <t>diciembre</t>
  </si>
  <si>
    <t>HONDA</t>
  </si>
  <si>
    <t>negro</t>
  </si>
  <si>
    <t>MAZDA</t>
  </si>
  <si>
    <t>azul</t>
  </si>
  <si>
    <t>octubre</t>
  </si>
  <si>
    <t>GM</t>
  </si>
  <si>
    <t>gris</t>
  </si>
  <si>
    <t>julio</t>
  </si>
  <si>
    <t>febrero</t>
  </si>
  <si>
    <t>plata</t>
  </si>
  <si>
    <t>noviembre</t>
  </si>
  <si>
    <t>abril</t>
  </si>
  <si>
    <t>junio</t>
  </si>
  <si>
    <t>TOYOTA</t>
  </si>
  <si>
    <t xml:space="preserve">rojo </t>
  </si>
  <si>
    <t>HYUNDAI</t>
  </si>
  <si>
    <t>agosto</t>
  </si>
  <si>
    <t>septiembre</t>
  </si>
  <si>
    <t>café</t>
  </si>
  <si>
    <t>marzo</t>
  </si>
  <si>
    <t>verde</t>
  </si>
  <si>
    <t>agsoto</t>
  </si>
  <si>
    <t>k= 3 grupos</t>
  </si>
  <si>
    <t>centro 3</t>
  </si>
  <si>
    <t xml:space="preserve">paso 6) puntos </t>
  </si>
  <si>
    <t xml:space="preserve">paso 3) distancias </t>
  </si>
  <si>
    <t xml:space="preserve">paso 4) relacion </t>
  </si>
  <si>
    <t xml:space="preserve">paso 5) relaiones ordenadas </t>
  </si>
  <si>
    <t>2y1</t>
  </si>
  <si>
    <t>8y3</t>
  </si>
  <si>
    <t>4y8</t>
  </si>
  <si>
    <t>9y2</t>
  </si>
  <si>
    <t>7y9</t>
  </si>
  <si>
    <t>6y5</t>
  </si>
  <si>
    <t>1y10</t>
  </si>
  <si>
    <t>5y4</t>
  </si>
  <si>
    <t>10y6</t>
  </si>
  <si>
    <t>3y</t>
  </si>
  <si>
    <t xml:space="preserve">para dos grupos </t>
  </si>
  <si>
    <t>grupo 1</t>
  </si>
  <si>
    <t>grupo 2</t>
  </si>
  <si>
    <t xml:space="preserve">para 3 grupos </t>
  </si>
  <si>
    <t>grupo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</si>
</sst>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1" fillId="0" borderId="0" xfId="0" applyFont="1" applyAlignment="1">
      <alignment horizontal="center" vertic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7" xfId="0" applyFont="1" applyFill="1" applyBorder="1"/>
    <xf numFmtId="0" fontId="2" fillId="4" borderId="7" xfId="0" applyFont="1" applyFill="1" applyBorder="1"/>
    <xf numFmtId="0" fontId="2" fillId="3" borderId="7" xfId="0" applyFont="1" applyFill="1" applyBorder="1"/>
    <xf numFmtId="0" fontId="0" fillId="0" borderId="7" xfId="0" applyBorder="1"/>
    <xf numFmtId="0" fontId="2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0" borderId="0" xfId="0" applyFont="1"/>
    <xf numFmtId="0" fontId="4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0" fillId="7" borderId="0" xfId="0" applyFill="1"/>
    <xf numFmtId="0" fontId="4" fillId="7" borderId="3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1" fillId="9" borderId="7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2" fontId="1" fillId="10" borderId="3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1" fillId="1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/>
    </xf>
    <xf numFmtId="0" fontId="4" fillId="16" borderId="0" xfId="0" applyFont="1" applyFill="1" applyAlignment="1">
      <alignment horizontal="center" vertical="center"/>
    </xf>
    <xf numFmtId="0" fontId="0" fillId="17" borderId="0" xfId="0" applyFill="1"/>
    <xf numFmtId="0" fontId="0" fillId="0" borderId="7" xfId="0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4" fillId="7" borderId="4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0" fillId="16" borderId="0" xfId="0" applyFill="1"/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Dendograma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Hoja4!$O$16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Hoja4!$N$17:$N$31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7.5</c:v>
                </c:pt>
                <c:pt idx="9">
                  <c:v>1.5</c:v>
                </c:pt>
                <c:pt idx="10">
                  <c:v>5.5</c:v>
                </c:pt>
                <c:pt idx="11">
                  <c:v>4.8</c:v>
                </c:pt>
                <c:pt idx="12">
                  <c:v>2.2000000000000002</c:v>
                </c:pt>
                <c:pt idx="13">
                  <c:v>6.1</c:v>
                </c:pt>
                <c:pt idx="14">
                  <c:v>4.0999999999999996</c:v>
                </c:pt>
              </c:numCache>
            </c:numRef>
          </c:xVal>
          <c:yVal>
            <c:numRef>
              <c:f>Hoja4!$O$17:$O$31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13</c:v>
                </c:pt>
                <c:pt idx="1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0-4023-93F8-9E9952923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016848"/>
        <c:axId val="414017832"/>
      </c:scatterChart>
      <c:valAx>
        <c:axId val="41401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4017832"/>
        <c:crosses val="autoZero"/>
        <c:crossBetween val="midCat"/>
      </c:valAx>
      <c:valAx>
        <c:axId val="41401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401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dendograma</a:t>
            </a:r>
          </a:p>
          <a:p>
            <a:pPr>
              <a:defRPr/>
            </a:pPr>
            <a:endParaRPr lang="es-MX"/>
          </a:p>
        </c:rich>
      </c:tx>
      <c:layout>
        <c:manualLayout>
          <c:xMode val="edge"/>
          <c:yMode val="edge"/>
          <c:x val="0.43364419291338591"/>
          <c:y val="5.6451612903225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'ejercicio 1 word '!$Q$16:$Q$34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3.5</c:v>
                </c:pt>
                <c:pt idx="11">
                  <c:v>9.5</c:v>
                </c:pt>
                <c:pt idx="12">
                  <c:v>8.5</c:v>
                </c:pt>
                <c:pt idx="13">
                  <c:v>2.5</c:v>
                </c:pt>
                <c:pt idx="14">
                  <c:v>1.5</c:v>
                </c:pt>
                <c:pt idx="15">
                  <c:v>6.5</c:v>
                </c:pt>
                <c:pt idx="16">
                  <c:v>4.5</c:v>
                </c:pt>
                <c:pt idx="17">
                  <c:v>7.5</c:v>
                </c:pt>
                <c:pt idx="18">
                  <c:v>5.5</c:v>
                </c:pt>
              </c:numCache>
            </c:numRef>
          </c:xVal>
          <c:yVal>
            <c:numRef>
              <c:f>'ejercicio 1 word '!$R$16:$R$34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0.69999999999999929</c:v>
                </c:pt>
                <c:pt idx="11">
                  <c:v>1.2999999999999996</c:v>
                </c:pt>
                <c:pt idx="12">
                  <c:v>2</c:v>
                </c:pt>
                <c:pt idx="13">
                  <c:v>2.5</c:v>
                </c:pt>
                <c:pt idx="14">
                  <c:v>2.5000000000000004</c:v>
                </c:pt>
                <c:pt idx="15">
                  <c:v>2.6</c:v>
                </c:pt>
                <c:pt idx="16">
                  <c:v>2.6000000000000005</c:v>
                </c:pt>
                <c:pt idx="17">
                  <c:v>2.7</c:v>
                </c:pt>
                <c:pt idx="18">
                  <c:v>4.2999999999999989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13-4583-A99A-A90FCBD26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811535"/>
        <c:axId val="1009809615"/>
      </c:scatterChart>
      <c:valAx>
        <c:axId val="100981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9809615"/>
        <c:crosses val="autoZero"/>
        <c:crossBetween val="midCat"/>
      </c:valAx>
      <c:valAx>
        <c:axId val="10098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981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19843</xdr:colOff>
      <xdr:row>24</xdr:row>
      <xdr:rowOff>176212</xdr:rowOff>
    </xdr:from>
    <xdr:to>
      <xdr:col>12</xdr:col>
      <xdr:colOff>19843</xdr:colOff>
      <xdr:row>39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646906</xdr:colOff>
      <xdr:row>37</xdr:row>
      <xdr:rowOff>190498</xdr:rowOff>
    </xdr:from>
    <xdr:to>
      <xdr:col>11</xdr:col>
      <xdr:colOff>650875</xdr:colOff>
      <xdr:row>39</xdr:row>
      <xdr:rowOff>43655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560219" y="7850186"/>
          <a:ext cx="3813969" cy="2341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MX"/>
            <a:t>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           </a:t>
          </a:r>
          <a:r>
            <a:rPr lang="es-MX"/>
            <a:t>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MX"/>
            <a:t>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MX"/>
            <a:t>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s-MX"/>
            <a:t>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/>
            <a:t>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          </a:t>
          </a:r>
          <a:r>
            <a:rPr lang="es-MX"/>
            <a:t>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s-MX"/>
            <a:t> </a:t>
          </a:r>
          <a:endParaRPr lang="es-MX" sz="1100"/>
        </a:p>
      </xdr:txBody>
    </xdr:sp>
    <xdr:clientData/>
  </xdr:twoCellAnchor>
  <xdr:twoCellAnchor>
    <xdr:from>
      <xdr:col>10</xdr:col>
      <xdr:colOff>462643</xdr:colOff>
      <xdr:row>36</xdr:row>
      <xdr:rowOff>126996</xdr:rowOff>
    </xdr:from>
    <xdr:to>
      <xdr:col>11</xdr:col>
      <xdr:colOff>158750</xdr:colOff>
      <xdr:row>37</xdr:row>
      <xdr:rowOff>136072</xdr:rowOff>
    </xdr:to>
    <xdr:sp macro="" textlink="">
      <xdr:nvSpPr>
        <xdr:cNvPr id="6" name="Forma lib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427357" y="7615460"/>
          <a:ext cx="458107" cy="199576"/>
        </a:xfrm>
        <a:custGeom>
          <a:avLst/>
          <a:gdLst>
            <a:gd name="connsiteX0" fmla="*/ 0 w 458107"/>
            <a:gd name="connsiteY0" fmla="*/ 195040 h 199576"/>
            <a:gd name="connsiteX1" fmla="*/ 217714 w 458107"/>
            <a:gd name="connsiteY1" fmla="*/ 4 h 199576"/>
            <a:gd name="connsiteX2" fmla="*/ 458107 w 458107"/>
            <a:gd name="connsiteY2" fmla="*/ 199576 h 1995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458107" h="199576">
              <a:moveTo>
                <a:pt x="0" y="195040"/>
              </a:moveTo>
              <a:cubicBezTo>
                <a:pt x="70681" y="97144"/>
                <a:pt x="141363" y="-752"/>
                <a:pt x="217714" y="4"/>
              </a:cubicBezTo>
              <a:cubicBezTo>
                <a:pt x="294065" y="760"/>
                <a:pt x="376086" y="100168"/>
                <a:pt x="458107" y="199576"/>
              </a:cubicBezTo>
            </a:path>
          </a:pathLst>
        </a:cu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4536</xdr:colOff>
      <xdr:row>36</xdr:row>
      <xdr:rowOff>27205</xdr:rowOff>
    </xdr:from>
    <xdr:to>
      <xdr:col>7</xdr:col>
      <xdr:colOff>471715</xdr:colOff>
      <xdr:row>37</xdr:row>
      <xdr:rowOff>154215</xdr:rowOff>
    </xdr:to>
    <xdr:sp macro="" textlink="">
      <xdr:nvSpPr>
        <xdr:cNvPr id="7" name="Forma lib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683250" y="7515669"/>
          <a:ext cx="467179" cy="317510"/>
        </a:xfrm>
        <a:custGeom>
          <a:avLst/>
          <a:gdLst>
            <a:gd name="connsiteX0" fmla="*/ 0 w 467179"/>
            <a:gd name="connsiteY0" fmla="*/ 317510 h 317510"/>
            <a:gd name="connsiteX1" fmla="*/ 235857 w 467179"/>
            <a:gd name="connsiteY1" fmla="*/ 10 h 317510"/>
            <a:gd name="connsiteX2" fmla="*/ 467179 w 467179"/>
            <a:gd name="connsiteY2" fmla="*/ 308438 h 3175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467179" h="317510">
              <a:moveTo>
                <a:pt x="0" y="317510"/>
              </a:moveTo>
              <a:cubicBezTo>
                <a:pt x="78997" y="159516"/>
                <a:pt x="157994" y="1522"/>
                <a:pt x="235857" y="10"/>
              </a:cubicBezTo>
              <a:cubicBezTo>
                <a:pt x="313720" y="-1502"/>
                <a:pt x="390449" y="153468"/>
                <a:pt x="467179" y="308438"/>
              </a:cubicBezTo>
            </a:path>
          </a:pathLst>
        </a:cu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322036</xdr:colOff>
      <xdr:row>36</xdr:row>
      <xdr:rowOff>31705</xdr:rowOff>
    </xdr:from>
    <xdr:to>
      <xdr:col>9</xdr:col>
      <xdr:colOff>757465</xdr:colOff>
      <xdr:row>37</xdr:row>
      <xdr:rowOff>149679</xdr:rowOff>
    </xdr:to>
    <xdr:sp macro="" textlink="">
      <xdr:nvSpPr>
        <xdr:cNvPr id="8" name="Forma lib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7524750" y="7520169"/>
          <a:ext cx="435429" cy="308474"/>
        </a:xfrm>
        <a:custGeom>
          <a:avLst/>
          <a:gdLst>
            <a:gd name="connsiteX0" fmla="*/ 0 w 435429"/>
            <a:gd name="connsiteY0" fmla="*/ 290331 h 308474"/>
            <a:gd name="connsiteX1" fmla="*/ 222250 w 435429"/>
            <a:gd name="connsiteY1" fmla="*/ 45 h 308474"/>
            <a:gd name="connsiteX2" fmla="*/ 435429 w 435429"/>
            <a:gd name="connsiteY2" fmla="*/ 308474 h 3084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435429" h="308474">
              <a:moveTo>
                <a:pt x="0" y="290331"/>
              </a:moveTo>
              <a:cubicBezTo>
                <a:pt x="74839" y="143676"/>
                <a:pt x="149679" y="-2979"/>
                <a:pt x="222250" y="45"/>
              </a:cubicBezTo>
              <a:cubicBezTo>
                <a:pt x="294821" y="3069"/>
                <a:pt x="365125" y="155771"/>
                <a:pt x="435429" y="308474"/>
              </a:cubicBezTo>
            </a:path>
          </a:pathLst>
        </a:cu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599281</xdr:colOff>
      <xdr:row>35</xdr:row>
      <xdr:rowOff>118590</xdr:rowOff>
    </xdr:from>
    <xdr:to>
      <xdr:col>9</xdr:col>
      <xdr:colOff>543718</xdr:colOff>
      <xdr:row>37</xdr:row>
      <xdr:rowOff>146843</xdr:rowOff>
    </xdr:to>
    <xdr:sp macro="" textlink="">
      <xdr:nvSpPr>
        <xdr:cNvPr id="11" name="Forma lib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036594" y="7397278"/>
          <a:ext cx="706437" cy="409253"/>
        </a:xfrm>
        <a:custGeom>
          <a:avLst/>
          <a:gdLst>
            <a:gd name="connsiteX0" fmla="*/ 0 w 706437"/>
            <a:gd name="connsiteY0" fmla="*/ 409253 h 409253"/>
            <a:gd name="connsiteX1" fmla="*/ 384969 w 706437"/>
            <a:gd name="connsiteY1" fmla="*/ 16347 h 409253"/>
            <a:gd name="connsiteX2" fmla="*/ 706437 w 706437"/>
            <a:gd name="connsiteY2" fmla="*/ 111597 h 40925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06437" h="409253">
              <a:moveTo>
                <a:pt x="0" y="409253"/>
              </a:moveTo>
              <a:cubicBezTo>
                <a:pt x="133614" y="237604"/>
                <a:pt x="267229" y="65956"/>
                <a:pt x="384969" y="16347"/>
              </a:cubicBezTo>
              <a:cubicBezTo>
                <a:pt x="502709" y="-33262"/>
                <a:pt x="604573" y="39167"/>
                <a:pt x="706437" y="111597"/>
              </a:cubicBezTo>
            </a:path>
          </a:pathLst>
        </a:cu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246062</xdr:colOff>
      <xdr:row>35</xdr:row>
      <xdr:rowOff>17437</xdr:rowOff>
    </xdr:from>
    <xdr:to>
      <xdr:col>8</xdr:col>
      <xdr:colOff>162718</xdr:colOff>
      <xdr:row>37</xdr:row>
      <xdr:rowOff>146843</xdr:rowOff>
    </xdr:to>
    <xdr:sp macro="" textlink="">
      <xdr:nvSpPr>
        <xdr:cNvPr id="13" name="Forma lib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921375" y="7296125"/>
          <a:ext cx="678656" cy="510406"/>
        </a:xfrm>
        <a:custGeom>
          <a:avLst/>
          <a:gdLst>
            <a:gd name="connsiteX0" fmla="*/ 0 w 678656"/>
            <a:gd name="connsiteY0" fmla="*/ 220688 h 510406"/>
            <a:gd name="connsiteX1" fmla="*/ 321469 w 678656"/>
            <a:gd name="connsiteY1" fmla="*/ 10344 h 510406"/>
            <a:gd name="connsiteX2" fmla="*/ 678656 w 678656"/>
            <a:gd name="connsiteY2" fmla="*/ 510406 h 5104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78656" h="510406">
              <a:moveTo>
                <a:pt x="0" y="220688"/>
              </a:moveTo>
              <a:cubicBezTo>
                <a:pt x="104180" y="91373"/>
                <a:pt x="208360" y="-37942"/>
                <a:pt x="321469" y="10344"/>
              </a:cubicBezTo>
              <a:cubicBezTo>
                <a:pt x="434578" y="58630"/>
                <a:pt x="556617" y="284518"/>
                <a:pt x="678656" y="510406"/>
              </a:cubicBezTo>
            </a:path>
          </a:pathLst>
        </a:cu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214312</xdr:colOff>
      <xdr:row>30</xdr:row>
      <xdr:rowOff>188821</xdr:rowOff>
    </xdr:from>
    <xdr:to>
      <xdr:col>10</xdr:col>
      <xdr:colOff>686593</xdr:colOff>
      <xdr:row>36</xdr:row>
      <xdr:rowOff>134937</xdr:rowOff>
    </xdr:to>
    <xdr:sp macro="" textlink="">
      <xdr:nvSpPr>
        <xdr:cNvPr id="16" name="Forma lib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7413625" y="6515009"/>
          <a:ext cx="1234281" cy="1089116"/>
        </a:xfrm>
        <a:custGeom>
          <a:avLst/>
          <a:gdLst>
            <a:gd name="connsiteX0" fmla="*/ 0 w 1234281"/>
            <a:gd name="connsiteY0" fmla="*/ 890679 h 1089116"/>
            <a:gd name="connsiteX1" fmla="*/ 587375 w 1234281"/>
            <a:gd name="connsiteY1" fmla="*/ 1679 h 1089116"/>
            <a:gd name="connsiteX2" fmla="*/ 1234281 w 1234281"/>
            <a:gd name="connsiteY2" fmla="*/ 1089116 h 108911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234281" h="1089116">
              <a:moveTo>
                <a:pt x="0" y="890679"/>
              </a:moveTo>
              <a:cubicBezTo>
                <a:pt x="190831" y="429642"/>
                <a:pt x="381662" y="-31394"/>
                <a:pt x="587375" y="1679"/>
              </a:cubicBezTo>
              <a:cubicBezTo>
                <a:pt x="793088" y="34752"/>
                <a:pt x="1013684" y="561934"/>
                <a:pt x="1234281" y="1089116"/>
              </a:cubicBezTo>
            </a:path>
          </a:pathLst>
        </a:cu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567531</xdr:colOff>
      <xdr:row>27</xdr:row>
      <xdr:rowOff>138561</xdr:rowOff>
    </xdr:from>
    <xdr:to>
      <xdr:col>10</xdr:col>
      <xdr:colOff>43656</xdr:colOff>
      <xdr:row>35</xdr:row>
      <xdr:rowOff>19843</xdr:rowOff>
    </xdr:to>
    <xdr:sp macro="" textlink="">
      <xdr:nvSpPr>
        <xdr:cNvPr id="18" name="Forma lib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6242844" y="5893249"/>
          <a:ext cx="1762125" cy="1405282"/>
        </a:xfrm>
        <a:custGeom>
          <a:avLst/>
          <a:gdLst>
            <a:gd name="connsiteX0" fmla="*/ 0 w 1762125"/>
            <a:gd name="connsiteY0" fmla="*/ 1405282 h 1405282"/>
            <a:gd name="connsiteX1" fmla="*/ 861219 w 1762125"/>
            <a:gd name="connsiteY1" fmla="*/ 28126 h 1405282"/>
            <a:gd name="connsiteX2" fmla="*/ 1762125 w 1762125"/>
            <a:gd name="connsiteY2" fmla="*/ 611532 h 140528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62125" h="1405282">
              <a:moveTo>
                <a:pt x="0" y="1405282"/>
              </a:moveTo>
              <a:cubicBezTo>
                <a:pt x="283766" y="782850"/>
                <a:pt x="567532" y="160418"/>
                <a:pt x="861219" y="28126"/>
              </a:cubicBezTo>
              <a:cubicBezTo>
                <a:pt x="1154907" y="-104166"/>
                <a:pt x="1458516" y="253683"/>
                <a:pt x="1762125" y="611532"/>
              </a:cubicBezTo>
            </a:path>
          </a:pathLst>
        </a:cu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443566</xdr:colOff>
      <xdr:row>32</xdr:row>
      <xdr:rowOff>135404</xdr:rowOff>
    </xdr:from>
    <xdr:to>
      <xdr:col>11</xdr:col>
      <xdr:colOff>380066</xdr:colOff>
      <xdr:row>32</xdr:row>
      <xdr:rowOff>135404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5357345" y="6898154"/>
          <a:ext cx="37465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680056</xdr:colOff>
      <xdr:row>32</xdr:row>
      <xdr:rowOff>59297</xdr:rowOff>
    </xdr:from>
    <xdr:to>
      <xdr:col>8</xdr:col>
      <xdr:colOff>60931</xdr:colOff>
      <xdr:row>33</xdr:row>
      <xdr:rowOff>31516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6355835" y="6822047"/>
          <a:ext cx="142875" cy="162719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390805</xdr:colOff>
      <xdr:row>32</xdr:row>
      <xdr:rowOff>46458</xdr:rowOff>
    </xdr:from>
    <xdr:to>
      <xdr:col>9</xdr:col>
      <xdr:colOff>533680</xdr:colOff>
      <xdr:row>33</xdr:row>
      <xdr:rowOff>18677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7590584" y="6809208"/>
          <a:ext cx="142875" cy="162719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267541</xdr:colOff>
      <xdr:row>32</xdr:row>
      <xdr:rowOff>60466</xdr:rowOff>
    </xdr:from>
    <xdr:to>
      <xdr:col>10</xdr:col>
      <xdr:colOff>410416</xdr:colOff>
      <xdr:row>33</xdr:row>
      <xdr:rowOff>32685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8229320" y="6823216"/>
          <a:ext cx="142875" cy="162719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26</xdr:row>
      <xdr:rowOff>118533</xdr:rowOff>
    </xdr:from>
    <xdr:to>
      <xdr:col>12</xdr:col>
      <xdr:colOff>25400</xdr:colOff>
      <xdr:row>43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DAA783-44D8-FCD5-B4BA-74C7BC3C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42</xdr:row>
      <xdr:rowOff>28575</xdr:rowOff>
    </xdr:from>
    <xdr:to>
      <xdr:col>11</xdr:col>
      <xdr:colOff>457200</xdr:colOff>
      <xdr:row>43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033E3D5-479D-8983-0D6B-133BB5D4E5D7}"/>
            </a:ext>
            <a:ext uri="{147F2762-F138-4A5C-976F-8EAC2B608ADB}">
              <a16:predDERef xmlns:a16="http://schemas.microsoft.com/office/drawing/2014/main" pred="{6DDAA783-44D8-FCD5-B4BA-74C7BC3C2784}"/>
            </a:ext>
          </a:extLst>
        </xdr:cNvPr>
        <xdr:cNvSpPr txBox="1"/>
      </xdr:nvSpPr>
      <xdr:spPr>
        <a:xfrm>
          <a:off x="2867025" y="8353425"/>
          <a:ext cx="59721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7</a:t>
          </a:r>
          <a:r>
            <a:rPr lang="es-MX">
              <a:effectLst/>
            </a:rPr>
            <a:t>   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s-MX">
              <a:effectLst/>
            </a:rPr>
            <a:t>   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MX">
              <a:effectLst/>
            </a:rPr>
            <a:t>   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es-MX">
              <a:effectLst/>
            </a:rPr>
            <a:t>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s-MX">
              <a:effectLst/>
            </a:rPr>
            <a:t>  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s-MX">
              <a:effectLst/>
            </a:rPr>
            <a:t>  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MX">
              <a:effectLst/>
            </a:rPr>
            <a:t>              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            </a:t>
          </a:r>
          <a:r>
            <a:rPr lang="es-MX">
              <a:effectLst/>
            </a:rPr>
            <a:t>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             </a:t>
          </a:r>
          <a:r>
            <a:rPr lang="es-MX">
              <a:effectLst/>
            </a:rPr>
            <a:t> 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MX">
              <a:effectLst/>
            </a:rPr>
            <a:t> </a:t>
          </a:r>
          <a:endParaRPr lang="es-MX" sz="1100"/>
        </a:p>
      </xdr:txBody>
    </xdr:sp>
    <xdr:clientData/>
  </xdr:twoCellAnchor>
  <xdr:twoCellAnchor>
    <xdr:from>
      <xdr:col>5</xdr:col>
      <xdr:colOff>592667</xdr:colOff>
      <xdr:row>40</xdr:row>
      <xdr:rowOff>50472</xdr:rowOff>
    </xdr:from>
    <xdr:to>
      <xdr:col>6</xdr:col>
      <xdr:colOff>372533</xdr:colOff>
      <xdr:row>42</xdr:row>
      <xdr:rowOff>33866</xdr:rowOff>
    </xdr:to>
    <xdr:sp macro="" textlink="">
      <xdr:nvSpPr>
        <xdr:cNvPr id="4" name="Forma libre: forma 3">
          <a:extLst>
            <a:ext uri="{FF2B5EF4-FFF2-40B4-BE49-F238E27FC236}">
              <a16:creationId xmlns:a16="http://schemas.microsoft.com/office/drawing/2014/main" id="{6BBFB281-E711-BEAC-26AA-3B4C199A9C24}"/>
            </a:ext>
          </a:extLst>
        </xdr:cNvPr>
        <xdr:cNvSpPr/>
      </xdr:nvSpPr>
      <xdr:spPr>
        <a:xfrm>
          <a:off x="4572000" y="8144605"/>
          <a:ext cx="575733" cy="355928"/>
        </a:xfrm>
        <a:custGeom>
          <a:avLst/>
          <a:gdLst>
            <a:gd name="connsiteX0" fmla="*/ 0 w 575733"/>
            <a:gd name="connsiteY0" fmla="*/ 305128 h 355928"/>
            <a:gd name="connsiteX1" fmla="*/ 279400 w 575733"/>
            <a:gd name="connsiteY1" fmla="*/ 328 h 355928"/>
            <a:gd name="connsiteX2" fmla="*/ 575733 w 575733"/>
            <a:gd name="connsiteY2" fmla="*/ 355928 h 35592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75733" h="355928">
              <a:moveTo>
                <a:pt x="0" y="305128"/>
              </a:moveTo>
              <a:cubicBezTo>
                <a:pt x="91722" y="148494"/>
                <a:pt x="183445" y="-8139"/>
                <a:pt x="279400" y="328"/>
              </a:cubicBezTo>
              <a:cubicBezTo>
                <a:pt x="375355" y="8795"/>
                <a:pt x="475544" y="182361"/>
                <a:pt x="575733" y="355928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609600</xdr:colOff>
      <xdr:row>38</xdr:row>
      <xdr:rowOff>177610</xdr:rowOff>
    </xdr:from>
    <xdr:to>
      <xdr:col>10</xdr:col>
      <xdr:colOff>381000</xdr:colOff>
      <xdr:row>42</xdr:row>
      <xdr:rowOff>25400</xdr:rowOff>
    </xdr:to>
    <xdr:sp macro="" textlink="">
      <xdr:nvSpPr>
        <xdr:cNvPr id="5" name="Forma libre: forma 4">
          <a:extLst>
            <a:ext uri="{FF2B5EF4-FFF2-40B4-BE49-F238E27FC236}">
              <a16:creationId xmlns:a16="http://schemas.microsoft.com/office/drawing/2014/main" id="{0898B13C-BD44-D60E-CC3D-4F348E87D831}"/>
            </a:ext>
          </a:extLst>
        </xdr:cNvPr>
        <xdr:cNvSpPr/>
      </xdr:nvSpPr>
      <xdr:spPr>
        <a:xfrm>
          <a:off x="7772400" y="7899210"/>
          <a:ext cx="567267" cy="592857"/>
        </a:xfrm>
        <a:custGeom>
          <a:avLst/>
          <a:gdLst>
            <a:gd name="connsiteX0" fmla="*/ 0 w 567267"/>
            <a:gd name="connsiteY0" fmla="*/ 542057 h 592857"/>
            <a:gd name="connsiteX1" fmla="*/ 279400 w 567267"/>
            <a:gd name="connsiteY1" fmla="*/ 190 h 592857"/>
            <a:gd name="connsiteX2" fmla="*/ 567267 w 567267"/>
            <a:gd name="connsiteY2" fmla="*/ 592857 h 5928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67267" h="592857">
              <a:moveTo>
                <a:pt x="0" y="542057"/>
              </a:moveTo>
              <a:cubicBezTo>
                <a:pt x="92428" y="266890"/>
                <a:pt x="184856" y="-8277"/>
                <a:pt x="279400" y="190"/>
              </a:cubicBezTo>
              <a:cubicBezTo>
                <a:pt x="373944" y="8657"/>
                <a:pt x="470605" y="300757"/>
                <a:pt x="567267" y="592857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93133</xdr:colOff>
      <xdr:row>37</xdr:row>
      <xdr:rowOff>43357</xdr:rowOff>
    </xdr:from>
    <xdr:to>
      <xdr:col>10</xdr:col>
      <xdr:colOff>101600</xdr:colOff>
      <xdr:row>41</xdr:row>
      <xdr:rowOff>169333</xdr:rowOff>
    </xdr:to>
    <xdr:sp macro="" textlink="">
      <xdr:nvSpPr>
        <xdr:cNvPr id="6" name="Forma libre: forma 5">
          <a:extLst>
            <a:ext uri="{FF2B5EF4-FFF2-40B4-BE49-F238E27FC236}">
              <a16:creationId xmlns:a16="http://schemas.microsoft.com/office/drawing/2014/main" id="{9D6AB0A9-60B5-80FC-92A6-CAF33624B29A}"/>
            </a:ext>
          </a:extLst>
        </xdr:cNvPr>
        <xdr:cNvSpPr/>
      </xdr:nvSpPr>
      <xdr:spPr>
        <a:xfrm>
          <a:off x="7255933" y="7578690"/>
          <a:ext cx="804334" cy="871043"/>
        </a:xfrm>
        <a:custGeom>
          <a:avLst/>
          <a:gdLst>
            <a:gd name="connsiteX0" fmla="*/ 0 w 804334"/>
            <a:gd name="connsiteY0" fmla="*/ 871043 h 871043"/>
            <a:gd name="connsiteX1" fmla="*/ 262467 w 804334"/>
            <a:gd name="connsiteY1" fmla="*/ 24377 h 871043"/>
            <a:gd name="connsiteX2" fmla="*/ 804334 w 804334"/>
            <a:gd name="connsiteY2" fmla="*/ 312243 h 8710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04334" h="871043">
              <a:moveTo>
                <a:pt x="0" y="871043"/>
              </a:moveTo>
              <a:cubicBezTo>
                <a:pt x="64205" y="494276"/>
                <a:pt x="128411" y="117510"/>
                <a:pt x="262467" y="24377"/>
              </a:cubicBezTo>
              <a:cubicBezTo>
                <a:pt x="396523" y="-68756"/>
                <a:pt x="600428" y="121743"/>
                <a:pt x="804334" y="312243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67734</xdr:colOff>
      <xdr:row>36</xdr:row>
      <xdr:rowOff>22030</xdr:rowOff>
    </xdr:from>
    <xdr:to>
      <xdr:col>6</xdr:col>
      <xdr:colOff>76200</xdr:colOff>
      <xdr:row>41</xdr:row>
      <xdr:rowOff>152400</xdr:rowOff>
    </xdr:to>
    <xdr:sp macro="" textlink="">
      <xdr:nvSpPr>
        <xdr:cNvPr id="7" name="Forma libre: forma 6">
          <a:extLst>
            <a:ext uri="{FF2B5EF4-FFF2-40B4-BE49-F238E27FC236}">
              <a16:creationId xmlns:a16="http://schemas.microsoft.com/office/drawing/2014/main" id="{735C49C2-B8D4-7B4F-8B2A-74DA1325C18E}"/>
            </a:ext>
          </a:extLst>
        </xdr:cNvPr>
        <xdr:cNvSpPr/>
      </xdr:nvSpPr>
      <xdr:spPr>
        <a:xfrm>
          <a:off x="4047067" y="7371097"/>
          <a:ext cx="804333" cy="1061703"/>
        </a:xfrm>
        <a:custGeom>
          <a:avLst/>
          <a:gdLst>
            <a:gd name="connsiteX0" fmla="*/ 0 w 804333"/>
            <a:gd name="connsiteY0" fmla="*/ 1061703 h 1061703"/>
            <a:gd name="connsiteX1" fmla="*/ 287866 w 804333"/>
            <a:gd name="connsiteY1" fmla="*/ 3370 h 1061703"/>
            <a:gd name="connsiteX2" fmla="*/ 804333 w 804333"/>
            <a:gd name="connsiteY2" fmla="*/ 790770 h 10617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04333" h="1061703">
              <a:moveTo>
                <a:pt x="0" y="1061703"/>
              </a:moveTo>
              <a:cubicBezTo>
                <a:pt x="76905" y="555114"/>
                <a:pt x="153811" y="48525"/>
                <a:pt x="287866" y="3370"/>
              </a:cubicBezTo>
              <a:cubicBezTo>
                <a:pt x="421921" y="-41785"/>
                <a:pt x="613127" y="374492"/>
                <a:pt x="804333" y="79077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347133</xdr:colOff>
      <xdr:row>35</xdr:row>
      <xdr:rowOff>97745</xdr:rowOff>
    </xdr:from>
    <xdr:to>
      <xdr:col>5</xdr:col>
      <xdr:colOff>389467</xdr:colOff>
      <xdr:row>41</xdr:row>
      <xdr:rowOff>152400</xdr:rowOff>
    </xdr:to>
    <xdr:sp macro="" textlink="">
      <xdr:nvSpPr>
        <xdr:cNvPr id="8" name="Forma libre: forma 7">
          <a:extLst>
            <a:ext uri="{FF2B5EF4-FFF2-40B4-BE49-F238E27FC236}">
              <a16:creationId xmlns:a16="http://schemas.microsoft.com/office/drawing/2014/main" id="{1A7F6591-9DE3-29FF-42F3-4C54B60EBD7E}"/>
            </a:ext>
          </a:extLst>
        </xdr:cNvPr>
        <xdr:cNvSpPr/>
      </xdr:nvSpPr>
      <xdr:spPr>
        <a:xfrm>
          <a:off x="3530600" y="7260545"/>
          <a:ext cx="838200" cy="1172255"/>
        </a:xfrm>
        <a:custGeom>
          <a:avLst/>
          <a:gdLst>
            <a:gd name="connsiteX0" fmla="*/ 0 w 838200"/>
            <a:gd name="connsiteY0" fmla="*/ 1172255 h 1172255"/>
            <a:gd name="connsiteX1" fmla="*/ 228600 w 838200"/>
            <a:gd name="connsiteY1" fmla="*/ 105455 h 1172255"/>
            <a:gd name="connsiteX2" fmla="*/ 838200 w 838200"/>
            <a:gd name="connsiteY2" fmla="*/ 96988 h 117225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38200" h="1172255">
              <a:moveTo>
                <a:pt x="0" y="1172255"/>
              </a:moveTo>
              <a:cubicBezTo>
                <a:pt x="44450" y="728460"/>
                <a:pt x="88900" y="284666"/>
                <a:pt x="228600" y="105455"/>
              </a:cubicBezTo>
              <a:cubicBezTo>
                <a:pt x="368300" y="-73756"/>
                <a:pt x="603250" y="11616"/>
                <a:pt x="838200" y="96988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618066</xdr:colOff>
      <xdr:row>35</xdr:row>
      <xdr:rowOff>160867</xdr:rowOff>
    </xdr:from>
    <xdr:to>
      <xdr:col>8</xdr:col>
      <xdr:colOff>355600</xdr:colOff>
      <xdr:row>41</xdr:row>
      <xdr:rowOff>169333</xdr:rowOff>
    </xdr:to>
    <xdr:sp macro="" textlink="">
      <xdr:nvSpPr>
        <xdr:cNvPr id="9" name="Forma libre: forma 8">
          <a:extLst>
            <a:ext uri="{FF2B5EF4-FFF2-40B4-BE49-F238E27FC236}">
              <a16:creationId xmlns:a16="http://schemas.microsoft.com/office/drawing/2014/main" id="{314AD41A-1F2C-CD34-7F5D-1521FA97892F}"/>
            </a:ext>
          </a:extLst>
        </xdr:cNvPr>
        <xdr:cNvSpPr/>
      </xdr:nvSpPr>
      <xdr:spPr>
        <a:xfrm>
          <a:off x="6189133" y="7323667"/>
          <a:ext cx="533400" cy="1126066"/>
        </a:xfrm>
        <a:custGeom>
          <a:avLst/>
          <a:gdLst>
            <a:gd name="connsiteX0" fmla="*/ 0 w 533400"/>
            <a:gd name="connsiteY0" fmla="*/ 1126066 h 1126066"/>
            <a:gd name="connsiteX1" fmla="*/ 245534 w 533400"/>
            <a:gd name="connsiteY1" fmla="*/ 0 h 1126066"/>
            <a:gd name="connsiteX2" fmla="*/ 533400 w 533400"/>
            <a:gd name="connsiteY2" fmla="*/ 1126066 h 112606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33400" h="1126066">
              <a:moveTo>
                <a:pt x="0" y="1126066"/>
              </a:moveTo>
              <a:cubicBezTo>
                <a:pt x="78317" y="563033"/>
                <a:pt x="156634" y="0"/>
                <a:pt x="245534" y="0"/>
              </a:cubicBezTo>
              <a:cubicBezTo>
                <a:pt x="334434" y="0"/>
                <a:pt x="433917" y="563033"/>
                <a:pt x="533400" y="1126066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592666</xdr:colOff>
      <xdr:row>35</xdr:row>
      <xdr:rowOff>63039</xdr:rowOff>
    </xdr:from>
    <xdr:to>
      <xdr:col>7</xdr:col>
      <xdr:colOff>101260</xdr:colOff>
      <xdr:row>42</xdr:row>
      <xdr:rowOff>8466</xdr:rowOff>
    </xdr:to>
    <xdr:sp macro="" textlink="">
      <xdr:nvSpPr>
        <xdr:cNvPr id="10" name="Forma libre: forma 9">
          <a:extLst>
            <a:ext uri="{FF2B5EF4-FFF2-40B4-BE49-F238E27FC236}">
              <a16:creationId xmlns:a16="http://schemas.microsoft.com/office/drawing/2014/main" id="{37FE0FA6-0BD4-46F8-E20B-C0E8C8D872FF}"/>
            </a:ext>
          </a:extLst>
        </xdr:cNvPr>
        <xdr:cNvSpPr/>
      </xdr:nvSpPr>
      <xdr:spPr>
        <a:xfrm>
          <a:off x="3776133" y="7225839"/>
          <a:ext cx="1896194" cy="1249294"/>
        </a:xfrm>
        <a:custGeom>
          <a:avLst/>
          <a:gdLst>
            <a:gd name="connsiteX0" fmla="*/ 0 w 1896194"/>
            <a:gd name="connsiteY0" fmla="*/ 140161 h 1249294"/>
            <a:gd name="connsiteX1" fmla="*/ 1608667 w 1896194"/>
            <a:gd name="connsiteY1" fmla="*/ 97828 h 1249294"/>
            <a:gd name="connsiteX2" fmla="*/ 1888067 w 1896194"/>
            <a:gd name="connsiteY2" fmla="*/ 1249294 h 124929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896194" h="1249294">
              <a:moveTo>
                <a:pt x="0" y="140161"/>
              </a:moveTo>
              <a:cubicBezTo>
                <a:pt x="646994" y="26567"/>
                <a:pt x="1293989" y="-87027"/>
                <a:pt x="1608667" y="97828"/>
              </a:cubicBezTo>
              <a:cubicBezTo>
                <a:pt x="1923345" y="282683"/>
                <a:pt x="1905706" y="765988"/>
                <a:pt x="1888067" y="1249294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50800</xdr:colOff>
      <xdr:row>35</xdr:row>
      <xdr:rowOff>107962</xdr:rowOff>
    </xdr:from>
    <xdr:to>
      <xdr:col>9</xdr:col>
      <xdr:colOff>381000</xdr:colOff>
      <xdr:row>37</xdr:row>
      <xdr:rowOff>67734</xdr:rowOff>
    </xdr:to>
    <xdr:sp macro="" textlink="">
      <xdr:nvSpPr>
        <xdr:cNvPr id="11" name="Forma libre: forma 10">
          <a:extLst>
            <a:ext uri="{FF2B5EF4-FFF2-40B4-BE49-F238E27FC236}">
              <a16:creationId xmlns:a16="http://schemas.microsoft.com/office/drawing/2014/main" id="{B713D106-B0BB-DDE6-92E3-779F42AE0CB4}"/>
            </a:ext>
          </a:extLst>
        </xdr:cNvPr>
        <xdr:cNvSpPr/>
      </xdr:nvSpPr>
      <xdr:spPr>
        <a:xfrm>
          <a:off x="6417733" y="7270762"/>
          <a:ext cx="1126067" cy="332305"/>
        </a:xfrm>
        <a:custGeom>
          <a:avLst/>
          <a:gdLst>
            <a:gd name="connsiteX0" fmla="*/ 0 w 1126067"/>
            <a:gd name="connsiteY0" fmla="*/ 61371 h 332305"/>
            <a:gd name="connsiteX1" fmla="*/ 567267 w 1126067"/>
            <a:gd name="connsiteY1" fmla="*/ 19038 h 332305"/>
            <a:gd name="connsiteX2" fmla="*/ 1126067 w 1126067"/>
            <a:gd name="connsiteY2" fmla="*/ 332305 h 33230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126067" h="332305">
              <a:moveTo>
                <a:pt x="0" y="61371"/>
              </a:moveTo>
              <a:cubicBezTo>
                <a:pt x="189794" y="17626"/>
                <a:pt x="379589" y="-26118"/>
                <a:pt x="567267" y="19038"/>
              </a:cubicBezTo>
              <a:cubicBezTo>
                <a:pt x="754945" y="64194"/>
                <a:pt x="940506" y="198249"/>
                <a:pt x="1126067" y="332305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592667</xdr:colOff>
      <xdr:row>31</xdr:row>
      <xdr:rowOff>152384</xdr:rowOff>
    </xdr:from>
    <xdr:to>
      <xdr:col>8</xdr:col>
      <xdr:colOff>626534</xdr:colOff>
      <xdr:row>35</xdr:row>
      <xdr:rowOff>152400</xdr:rowOff>
    </xdr:to>
    <xdr:sp macro="" textlink="">
      <xdr:nvSpPr>
        <xdr:cNvPr id="12" name="Forma libre: forma 11">
          <a:extLst>
            <a:ext uri="{FF2B5EF4-FFF2-40B4-BE49-F238E27FC236}">
              <a16:creationId xmlns:a16="http://schemas.microsoft.com/office/drawing/2014/main" id="{F7AAD294-C7B3-8C8D-DC48-721E35CB1DCE}"/>
            </a:ext>
          </a:extLst>
        </xdr:cNvPr>
        <xdr:cNvSpPr/>
      </xdr:nvSpPr>
      <xdr:spPr>
        <a:xfrm>
          <a:off x="5367867" y="6570117"/>
          <a:ext cx="1625600" cy="745083"/>
        </a:xfrm>
        <a:custGeom>
          <a:avLst/>
          <a:gdLst>
            <a:gd name="connsiteX0" fmla="*/ 0 w 1625600"/>
            <a:gd name="connsiteY0" fmla="*/ 745083 h 745083"/>
            <a:gd name="connsiteX1" fmla="*/ 567266 w 1625600"/>
            <a:gd name="connsiteY1" fmla="*/ 16 h 745083"/>
            <a:gd name="connsiteX2" fmla="*/ 1625600 w 1625600"/>
            <a:gd name="connsiteY2" fmla="*/ 728150 h 7450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25600" h="745083">
              <a:moveTo>
                <a:pt x="0" y="745083"/>
              </a:moveTo>
              <a:cubicBezTo>
                <a:pt x="148166" y="373960"/>
                <a:pt x="296333" y="2838"/>
                <a:pt x="567266" y="16"/>
              </a:cubicBezTo>
              <a:cubicBezTo>
                <a:pt x="838199" y="-2806"/>
                <a:pt x="1231899" y="362672"/>
                <a:pt x="1625600" y="72815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609600</xdr:colOff>
      <xdr:row>32</xdr:row>
      <xdr:rowOff>118533</xdr:rowOff>
    </xdr:from>
    <xdr:to>
      <xdr:col>11</xdr:col>
      <xdr:colOff>626534</xdr:colOff>
      <xdr:row>32</xdr:row>
      <xdr:rowOff>127000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14D7D537-CF5A-BFF1-8793-524BCC6B62A3}"/>
            </a:ext>
          </a:extLst>
        </xdr:cNvPr>
        <xdr:cNvCxnSpPr/>
      </xdr:nvCxnSpPr>
      <xdr:spPr>
        <a:xfrm>
          <a:off x="2997200" y="6722533"/>
          <a:ext cx="6383867" cy="846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660400</xdr:colOff>
      <xdr:row>31</xdr:row>
      <xdr:rowOff>177800</xdr:rowOff>
    </xdr:from>
    <xdr:to>
      <xdr:col>7</xdr:col>
      <xdr:colOff>220133</xdr:colOff>
      <xdr:row>33</xdr:row>
      <xdr:rowOff>127000</xdr:rowOff>
    </xdr:to>
    <xdr:sp macro="" textlink="">
      <xdr:nvSpPr>
        <xdr:cNvPr id="15" name="Diagrama de flujo: conector 14">
          <a:extLst>
            <a:ext uri="{FF2B5EF4-FFF2-40B4-BE49-F238E27FC236}">
              <a16:creationId xmlns:a16="http://schemas.microsoft.com/office/drawing/2014/main" id="{E4B89079-D1BD-4CF7-8D0A-56DDAB08A1B9}"/>
            </a:ext>
          </a:extLst>
        </xdr:cNvPr>
        <xdr:cNvSpPr/>
      </xdr:nvSpPr>
      <xdr:spPr>
        <a:xfrm>
          <a:off x="5435600" y="6595533"/>
          <a:ext cx="355600" cy="321734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702733</xdr:colOff>
      <xdr:row>36</xdr:row>
      <xdr:rowOff>0</xdr:rowOff>
    </xdr:from>
    <xdr:to>
      <xdr:col>4</xdr:col>
      <xdr:colOff>397933</xdr:colOff>
      <xdr:row>38</xdr:row>
      <xdr:rowOff>67734</xdr:rowOff>
    </xdr:to>
    <xdr:sp macro="" textlink="">
      <xdr:nvSpPr>
        <xdr:cNvPr id="18" name="Flecha: a la derecha 17">
          <a:extLst>
            <a:ext uri="{FF2B5EF4-FFF2-40B4-BE49-F238E27FC236}">
              <a16:creationId xmlns:a16="http://schemas.microsoft.com/office/drawing/2014/main" id="{B617783F-2A40-F762-59F2-DA5EB14E1BFD}"/>
            </a:ext>
          </a:extLst>
        </xdr:cNvPr>
        <xdr:cNvSpPr/>
      </xdr:nvSpPr>
      <xdr:spPr>
        <a:xfrm>
          <a:off x="3090333" y="7349067"/>
          <a:ext cx="491067" cy="44026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321733</xdr:colOff>
      <xdr:row>38</xdr:row>
      <xdr:rowOff>118533</xdr:rowOff>
    </xdr:from>
    <xdr:to>
      <xdr:col>11</xdr:col>
      <xdr:colOff>16934</xdr:colOff>
      <xdr:row>40</xdr:row>
      <xdr:rowOff>186267</xdr:rowOff>
    </xdr:to>
    <xdr:sp macro="" textlink="">
      <xdr:nvSpPr>
        <xdr:cNvPr id="19" name="Flecha: a la derecha 18">
          <a:extLst>
            <a:ext uri="{FF2B5EF4-FFF2-40B4-BE49-F238E27FC236}">
              <a16:creationId xmlns:a16="http://schemas.microsoft.com/office/drawing/2014/main" id="{E25DB542-044E-4D78-831D-27E896CD8C65}"/>
            </a:ext>
          </a:extLst>
        </xdr:cNvPr>
        <xdr:cNvSpPr/>
      </xdr:nvSpPr>
      <xdr:spPr>
        <a:xfrm rot="10800000">
          <a:off x="8280400" y="7840133"/>
          <a:ext cx="491067" cy="44026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516466</xdr:colOff>
      <xdr:row>38</xdr:row>
      <xdr:rowOff>25400</xdr:rowOff>
    </xdr:from>
    <xdr:to>
      <xdr:col>4</xdr:col>
      <xdr:colOff>719666</xdr:colOff>
      <xdr:row>39</xdr:row>
      <xdr:rowOff>127000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EC9DC1E1-CBDF-619D-D7C2-1FF8977896C1}"/>
            </a:ext>
          </a:extLst>
        </xdr:cNvPr>
        <xdr:cNvSpPr txBox="1"/>
      </xdr:nvSpPr>
      <xdr:spPr>
        <a:xfrm>
          <a:off x="2904066" y="7747000"/>
          <a:ext cx="999067" cy="2878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grupo 1</a:t>
          </a:r>
        </a:p>
      </xdr:txBody>
    </xdr:sp>
    <xdr:clientData/>
  </xdr:twoCellAnchor>
  <xdr:twoCellAnchor>
    <xdr:from>
      <xdr:col>11</xdr:col>
      <xdr:colOff>118534</xdr:colOff>
      <xdr:row>39</xdr:row>
      <xdr:rowOff>8467</xdr:rowOff>
    </xdr:from>
    <xdr:to>
      <xdr:col>12</xdr:col>
      <xdr:colOff>321734</xdr:colOff>
      <xdr:row>40</xdr:row>
      <xdr:rowOff>110068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727A4CDF-D251-4613-B86E-0B2E51B9448D}"/>
            </a:ext>
          </a:extLst>
        </xdr:cNvPr>
        <xdr:cNvSpPr txBox="1"/>
      </xdr:nvSpPr>
      <xdr:spPr>
        <a:xfrm>
          <a:off x="8873067" y="7916334"/>
          <a:ext cx="999067" cy="2878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grupo 2</a:t>
          </a:r>
        </a:p>
      </xdr:txBody>
    </xdr:sp>
    <xdr:clientData/>
  </xdr:twoCellAnchor>
  <xdr:twoCellAnchor>
    <xdr:from>
      <xdr:col>7</xdr:col>
      <xdr:colOff>414866</xdr:colOff>
      <xdr:row>29</xdr:row>
      <xdr:rowOff>50800</xdr:rowOff>
    </xdr:from>
    <xdr:to>
      <xdr:col>7</xdr:col>
      <xdr:colOff>474133</xdr:colOff>
      <xdr:row>44</xdr:row>
      <xdr:rowOff>33867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A1382F26-1591-707A-1DCA-C8BC3DEC804A}"/>
            </a:ext>
          </a:extLst>
        </xdr:cNvPr>
        <xdr:cNvCxnSpPr/>
      </xdr:nvCxnSpPr>
      <xdr:spPr>
        <a:xfrm flipH="1" flipV="1">
          <a:off x="5985933" y="6096000"/>
          <a:ext cx="59267" cy="2844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609600</xdr:colOff>
      <xdr:row>28</xdr:row>
      <xdr:rowOff>59267</xdr:rowOff>
    </xdr:from>
    <xdr:to>
      <xdr:col>8</xdr:col>
      <xdr:colOff>694267</xdr:colOff>
      <xdr:row>43</xdr:row>
      <xdr:rowOff>177800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9F3DB98A-F123-6002-7EA5-72DDBE945E01}"/>
            </a:ext>
            <a:ext uri="{147F2762-F138-4A5C-976F-8EAC2B608ADB}">
              <a16:predDERef xmlns:a16="http://schemas.microsoft.com/office/drawing/2014/main" pred="{A1382F26-1591-707A-1DCA-C8BC3DEC804A}"/>
            </a:ext>
          </a:extLst>
        </xdr:cNvPr>
        <xdr:cNvCxnSpPr/>
      </xdr:nvCxnSpPr>
      <xdr:spPr>
        <a:xfrm flipH="1" flipV="1">
          <a:off x="6976533" y="5918200"/>
          <a:ext cx="84667" cy="29633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0.51103</cdr:x>
      <cdr:y>0.31183</cdr:y>
    </cdr:from>
    <cdr:to>
      <cdr:x>0.5625</cdr:x>
      <cdr:y>0.41398</cdr:y>
    </cdr:to>
    <cdr:sp macro="" textlink="">
      <cdr:nvSpPr>
        <cdr:cNvPr id="2" name="Diagrama de flujo: conector 1">
          <a:extLst xmlns:a="http://schemas.openxmlformats.org/drawingml/2006/main">
            <a:ext uri="{FF2B5EF4-FFF2-40B4-BE49-F238E27FC236}">
              <a16:creationId xmlns:a16="http://schemas.microsoft.com/office/drawing/2014/main" id="{E4B89079-D1BD-4CF7-8D0A-56DDAB08A1B9}"/>
            </a:ext>
          </a:extLst>
        </cdr:cNvPr>
        <cdr:cNvSpPr/>
      </cdr:nvSpPr>
      <cdr:spPr>
        <a:xfrm xmlns:a="http://schemas.openxmlformats.org/drawingml/2006/main">
          <a:off x="3530600" y="982133"/>
          <a:ext cx="355600" cy="321734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s-MX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opLeftCell="A6" zoomScale="110" zoomScaleNormal="110" workbookViewId="0"/>
  </sheetViews>
  <sheetFormatPr defaultColWidth="11.44140625" defaultRowHeight="14.4" x14ac:dyDescent="0.3"/>
  <cols>
    <col min="4" max="4" width="17.44140625" customWidth="1"/>
  </cols>
  <sheetData>
    <row r="1" spans="1:4" ht="15" customHeight="1" x14ac:dyDescent="0.4">
      <c r="A1" s="95" t="s">
        <v>0</v>
      </c>
      <c r="B1" s="95"/>
      <c r="C1" s="95"/>
      <c r="D1" s="95"/>
    </row>
    <row r="2" spans="1:4" x14ac:dyDescent="0.3">
      <c r="A2" s="2"/>
      <c r="B2" s="3"/>
      <c r="C2" s="3"/>
      <c r="D2" s="3"/>
    </row>
    <row r="3" spans="1:4" x14ac:dyDescent="0.3">
      <c r="A3" s="2"/>
      <c r="B3" s="3"/>
      <c r="C3" s="3"/>
      <c r="D3" s="3"/>
    </row>
    <row r="4" spans="1:4" ht="46.8" x14ac:dyDescent="0.3">
      <c r="A4" s="4" t="s">
        <v>1</v>
      </c>
      <c r="B4" s="5" t="s">
        <v>2</v>
      </c>
      <c r="C4" s="6" t="s">
        <v>3</v>
      </c>
      <c r="D4" s="4" t="s">
        <v>4</v>
      </c>
    </row>
    <row r="5" spans="1:4" ht="15.6" x14ac:dyDescent="0.3">
      <c r="A5" s="6">
        <v>1</v>
      </c>
      <c r="B5" s="21" t="s">
        <v>5</v>
      </c>
      <c r="C5" s="20">
        <v>42</v>
      </c>
      <c r="D5" s="20">
        <v>7</v>
      </c>
    </row>
    <row r="6" spans="1:4" ht="15.6" x14ac:dyDescent="0.3">
      <c r="A6" s="6">
        <v>2</v>
      </c>
      <c r="B6" s="23" t="s">
        <v>6</v>
      </c>
      <c r="C6" s="24">
        <v>18</v>
      </c>
      <c r="D6" s="24">
        <v>3</v>
      </c>
    </row>
    <row r="7" spans="1:4" ht="15.6" x14ac:dyDescent="0.3">
      <c r="A7" s="6">
        <v>3</v>
      </c>
      <c r="B7" s="23" t="s">
        <v>7</v>
      </c>
      <c r="C7" s="24">
        <v>23</v>
      </c>
      <c r="D7" s="24">
        <v>2</v>
      </c>
    </row>
    <row r="8" spans="1:4" ht="15.6" x14ac:dyDescent="0.3">
      <c r="A8" s="20">
        <v>4</v>
      </c>
      <c r="B8" s="21" t="s">
        <v>8</v>
      </c>
      <c r="C8" s="20">
        <v>49</v>
      </c>
      <c r="D8" s="20">
        <v>1</v>
      </c>
    </row>
    <row r="9" spans="1:4" ht="15.6" x14ac:dyDescent="0.3">
      <c r="A9" s="20">
        <v>5</v>
      </c>
      <c r="B9" s="21" t="s">
        <v>9</v>
      </c>
      <c r="C9" s="20">
        <v>37</v>
      </c>
      <c r="D9" s="20">
        <v>7</v>
      </c>
    </row>
    <row r="10" spans="1:4" ht="15.6" x14ac:dyDescent="0.3">
      <c r="A10" s="6">
        <v>6</v>
      </c>
      <c r="B10" s="21" t="s">
        <v>10</v>
      </c>
      <c r="C10" s="20">
        <v>51</v>
      </c>
      <c r="D10" s="20">
        <v>1</v>
      </c>
    </row>
    <row r="11" spans="1:4" ht="15.6" x14ac:dyDescent="0.3">
      <c r="A11" s="6">
        <v>7</v>
      </c>
      <c r="B11" s="21" t="s">
        <v>11</v>
      </c>
      <c r="C11" s="20">
        <v>40</v>
      </c>
      <c r="D11" s="20">
        <v>6</v>
      </c>
    </row>
    <row r="12" spans="1:4" ht="15.6" x14ac:dyDescent="0.3">
      <c r="A12" s="6">
        <v>8</v>
      </c>
      <c r="B12" s="23" t="s">
        <v>12</v>
      </c>
      <c r="C12" s="24">
        <v>20</v>
      </c>
      <c r="D12" s="24">
        <v>4</v>
      </c>
    </row>
    <row r="15" spans="1:4" x14ac:dyDescent="0.3">
      <c r="A15" s="18" t="s">
        <v>13</v>
      </c>
      <c r="D15" s="19" t="s">
        <v>14</v>
      </c>
    </row>
    <row r="17" spans="1:12" x14ac:dyDescent="0.3">
      <c r="A17" s="18" t="s">
        <v>15</v>
      </c>
      <c r="B17" s="18" t="s">
        <v>16</v>
      </c>
    </row>
    <row r="18" spans="1:12" ht="15.6" x14ac:dyDescent="0.3">
      <c r="B18" t="s">
        <v>17</v>
      </c>
      <c r="C18" s="20">
        <v>37</v>
      </c>
      <c r="D18" s="20">
        <v>7</v>
      </c>
    </row>
    <row r="19" spans="1:12" ht="15.6" x14ac:dyDescent="0.3">
      <c r="B19" t="s">
        <v>18</v>
      </c>
      <c r="C19" s="20">
        <v>49</v>
      </c>
      <c r="D19" s="20">
        <v>1</v>
      </c>
    </row>
    <row r="21" spans="1:12" x14ac:dyDescent="0.3">
      <c r="A21" s="18" t="s">
        <v>19</v>
      </c>
      <c r="F21" s="18" t="s">
        <v>20</v>
      </c>
      <c r="H21" s="18" t="s">
        <v>21</v>
      </c>
    </row>
    <row r="22" spans="1:12" x14ac:dyDescent="0.3">
      <c r="C22" t="s">
        <v>22</v>
      </c>
      <c r="D22" t="s">
        <v>23</v>
      </c>
    </row>
    <row r="23" spans="1:12" x14ac:dyDescent="0.3">
      <c r="B23">
        <v>1</v>
      </c>
      <c r="C23" s="22">
        <f>ABS($C$34-C5)+ABS($D$34-D5)</f>
        <v>25.666666666666668</v>
      </c>
      <c r="D23" s="22">
        <f>ABS($C$35-C5)+ABS($D$35-D5)</f>
        <v>4.3999999999999968</v>
      </c>
      <c r="F23" s="2">
        <f>IF(C23&gt;D23,2,1)</f>
        <v>2</v>
      </c>
      <c r="H23" s="2">
        <v>1</v>
      </c>
      <c r="I23" s="2">
        <v>2</v>
      </c>
      <c r="J23" s="2">
        <v>2</v>
      </c>
      <c r="K23" s="27">
        <v>2</v>
      </c>
      <c r="L23" s="27">
        <v>2</v>
      </c>
    </row>
    <row r="24" spans="1:12" x14ac:dyDescent="0.3">
      <c r="B24">
        <v>2</v>
      </c>
      <c r="C24" s="22">
        <f t="shared" ref="C24:C30" si="0">ABS($C$34-C6)+ABS($D$34-D6)</f>
        <v>2.3333333333333321</v>
      </c>
      <c r="D24" s="22">
        <f t="shared" ref="D24:D30" si="1">ABS($C$35-C6)+ABS($D$35-D6)</f>
        <v>27.199999999999996</v>
      </c>
      <c r="F24" s="2">
        <f t="shared" ref="F24:F30" si="2">IF(C24&gt;D24,2,1)</f>
        <v>1</v>
      </c>
      <c r="H24" s="2">
        <v>1</v>
      </c>
      <c r="I24" s="2">
        <v>1</v>
      </c>
      <c r="J24" s="2">
        <v>1</v>
      </c>
      <c r="K24" s="27">
        <v>1</v>
      </c>
      <c r="L24" s="27">
        <v>1</v>
      </c>
    </row>
    <row r="25" spans="1:12" x14ac:dyDescent="0.3">
      <c r="B25">
        <v>3</v>
      </c>
      <c r="C25" s="22">
        <f t="shared" si="0"/>
        <v>3.6666666666666679</v>
      </c>
      <c r="D25" s="22">
        <f t="shared" si="1"/>
        <v>23.199999999999996</v>
      </c>
      <c r="F25" s="2">
        <f t="shared" si="2"/>
        <v>1</v>
      </c>
      <c r="H25" s="2">
        <v>1</v>
      </c>
      <c r="I25" s="2">
        <v>1</v>
      </c>
      <c r="J25" s="2">
        <v>1</v>
      </c>
      <c r="K25" s="27">
        <v>1</v>
      </c>
      <c r="L25" s="27">
        <v>1</v>
      </c>
    </row>
    <row r="26" spans="1:12" x14ac:dyDescent="0.3">
      <c r="B26">
        <v>4</v>
      </c>
      <c r="C26" s="22">
        <f t="shared" si="0"/>
        <v>30.666666666666668</v>
      </c>
      <c r="D26" s="22">
        <f t="shared" si="1"/>
        <v>8.6000000000000032</v>
      </c>
      <c r="F26" s="2">
        <f t="shared" si="2"/>
        <v>2</v>
      </c>
      <c r="H26" s="2">
        <v>2</v>
      </c>
      <c r="I26" s="2">
        <v>2</v>
      </c>
      <c r="J26" s="2">
        <v>2</v>
      </c>
      <c r="K26" s="27">
        <v>2</v>
      </c>
      <c r="L26" s="27">
        <v>2</v>
      </c>
    </row>
    <row r="27" spans="1:12" x14ac:dyDescent="0.3">
      <c r="B27">
        <v>5</v>
      </c>
      <c r="C27" s="22">
        <f t="shared" si="0"/>
        <v>20.666666666666668</v>
      </c>
      <c r="D27" s="22">
        <f t="shared" si="1"/>
        <v>9.3999999999999968</v>
      </c>
      <c r="F27" s="2">
        <f t="shared" si="2"/>
        <v>2</v>
      </c>
      <c r="H27" s="2">
        <v>1</v>
      </c>
      <c r="I27" s="2">
        <v>1</v>
      </c>
      <c r="J27" s="26">
        <v>1</v>
      </c>
      <c r="K27" s="27">
        <v>2</v>
      </c>
      <c r="L27" s="27">
        <v>2</v>
      </c>
    </row>
    <row r="28" spans="1:12" x14ac:dyDescent="0.3">
      <c r="B28">
        <v>6</v>
      </c>
      <c r="C28" s="22">
        <f t="shared" si="0"/>
        <v>32.666666666666671</v>
      </c>
      <c r="D28" s="22">
        <f t="shared" si="1"/>
        <v>10.600000000000003</v>
      </c>
      <c r="F28" s="2">
        <f t="shared" si="2"/>
        <v>2</v>
      </c>
      <c r="H28" s="2">
        <v>2</v>
      </c>
      <c r="I28" s="2">
        <v>2</v>
      </c>
      <c r="J28" s="2">
        <v>2</v>
      </c>
      <c r="K28" s="27">
        <v>2</v>
      </c>
      <c r="L28" s="27">
        <v>2</v>
      </c>
    </row>
    <row r="29" spans="1:12" x14ac:dyDescent="0.3">
      <c r="B29">
        <v>7</v>
      </c>
      <c r="C29" s="22">
        <f t="shared" si="0"/>
        <v>22.666666666666668</v>
      </c>
      <c r="D29" s="22">
        <f t="shared" si="1"/>
        <v>5.3999999999999968</v>
      </c>
      <c r="F29" s="2">
        <f>IF(C29&gt;D29,2,1)</f>
        <v>2</v>
      </c>
      <c r="H29" s="2">
        <v>1</v>
      </c>
      <c r="I29" s="25">
        <v>1</v>
      </c>
      <c r="J29" s="25">
        <v>2</v>
      </c>
      <c r="K29" s="27">
        <v>2</v>
      </c>
      <c r="L29" s="27">
        <v>2</v>
      </c>
    </row>
    <row r="30" spans="1:12" x14ac:dyDescent="0.3">
      <c r="B30">
        <v>8</v>
      </c>
      <c r="C30" s="22">
        <f t="shared" si="0"/>
        <v>1.3333333333333321</v>
      </c>
      <c r="D30" s="22">
        <f t="shared" si="1"/>
        <v>24.199999999999996</v>
      </c>
      <c r="F30" s="2">
        <f t="shared" si="2"/>
        <v>1</v>
      </c>
      <c r="H30" s="2">
        <v>1</v>
      </c>
      <c r="I30" s="2">
        <v>1</v>
      </c>
      <c r="J30" s="2">
        <v>1</v>
      </c>
      <c r="K30" s="27">
        <v>1</v>
      </c>
      <c r="L30" s="27">
        <v>1</v>
      </c>
    </row>
    <row r="32" spans="1:12" x14ac:dyDescent="0.3">
      <c r="A32" s="18" t="s">
        <v>24</v>
      </c>
      <c r="H32" s="28" t="s">
        <v>25</v>
      </c>
      <c r="I32" s="28"/>
    </row>
    <row r="33" spans="2:9" x14ac:dyDescent="0.3">
      <c r="H33" s="28" t="s">
        <v>26</v>
      </c>
      <c r="I33" s="28" t="s">
        <v>27</v>
      </c>
    </row>
    <row r="34" spans="2:9" ht="15.6" x14ac:dyDescent="0.3">
      <c r="B34" t="s">
        <v>17</v>
      </c>
      <c r="C34" s="20">
        <f>AVERAGE(C6,C7,C12)</f>
        <v>20.333333333333332</v>
      </c>
      <c r="D34" s="20">
        <f>AVERAGE(D6,D7,D12)</f>
        <v>3</v>
      </c>
      <c r="H34" s="29" t="s">
        <v>6</v>
      </c>
      <c r="I34" s="30" t="s">
        <v>5</v>
      </c>
    </row>
    <row r="35" spans="2:9" ht="15.6" x14ac:dyDescent="0.3">
      <c r="B35" t="s">
        <v>18</v>
      </c>
      <c r="C35" s="20">
        <f>AVERAGE(C5,C8,C9,C10,C11)</f>
        <v>43.8</v>
      </c>
      <c r="D35" s="20">
        <f>AVERAGE(D5,D8,D9,D10,D11)</f>
        <v>4.4000000000000004</v>
      </c>
      <c r="H35" s="29" t="s">
        <v>7</v>
      </c>
      <c r="I35" s="30" t="s">
        <v>8</v>
      </c>
    </row>
    <row r="36" spans="2:9" ht="15.6" x14ac:dyDescent="0.3">
      <c r="H36" s="29" t="s">
        <v>12</v>
      </c>
      <c r="I36" s="30" t="s">
        <v>9</v>
      </c>
    </row>
    <row r="37" spans="2:9" ht="15.6" x14ac:dyDescent="0.3">
      <c r="H37" s="31"/>
      <c r="I37" s="30" t="s">
        <v>10</v>
      </c>
    </row>
    <row r="38" spans="2:9" ht="15.6" x14ac:dyDescent="0.3">
      <c r="H38" s="31"/>
      <c r="I38" s="30" t="s">
        <v>11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52"/>
  <sheetViews>
    <sheetView topLeftCell="A5" zoomScaleNormal="100" workbookViewId="0">
      <selection activeCell="V35" sqref="V35"/>
    </sheetView>
  </sheetViews>
  <sheetFormatPr defaultColWidth="11.44140625" defaultRowHeight="14.4" x14ac:dyDescent="0.3"/>
  <cols>
    <col min="5" max="5" width="16.5546875" customWidth="1"/>
  </cols>
  <sheetData>
    <row r="2" spans="2:15" ht="21" x14ac:dyDescent="0.4">
      <c r="B2" s="95" t="s">
        <v>0</v>
      </c>
      <c r="C2" s="95"/>
      <c r="D2" s="95"/>
      <c r="E2" s="95"/>
    </row>
    <row r="3" spans="2:15" x14ac:dyDescent="0.3">
      <c r="B3" s="2"/>
      <c r="C3" s="3"/>
      <c r="D3" s="3"/>
      <c r="E3" s="3"/>
    </row>
    <row r="4" spans="2:15" x14ac:dyDescent="0.3">
      <c r="B4" s="2"/>
      <c r="C4" s="3"/>
      <c r="D4" s="3"/>
      <c r="E4" s="3"/>
    </row>
    <row r="5" spans="2:15" ht="46.8" x14ac:dyDescent="0.3">
      <c r="B5" s="4" t="s">
        <v>1</v>
      </c>
      <c r="C5" s="5" t="s">
        <v>2</v>
      </c>
      <c r="D5" s="6" t="s">
        <v>3</v>
      </c>
      <c r="E5" s="4" t="s">
        <v>4</v>
      </c>
    </row>
    <row r="6" spans="2:15" ht="15.6" x14ac:dyDescent="0.3">
      <c r="B6" s="6">
        <v>1</v>
      </c>
      <c r="C6" s="5" t="s">
        <v>5</v>
      </c>
      <c r="D6" s="6">
        <v>42</v>
      </c>
      <c r="E6" s="6">
        <v>7</v>
      </c>
    </row>
    <row r="7" spans="2:15" ht="15.6" x14ac:dyDescent="0.3">
      <c r="B7" s="6">
        <v>2</v>
      </c>
      <c r="C7" s="5" t="s">
        <v>6</v>
      </c>
      <c r="D7" s="6">
        <v>18</v>
      </c>
      <c r="E7" s="6">
        <v>3</v>
      </c>
    </row>
    <row r="8" spans="2:15" ht="15.6" x14ac:dyDescent="0.3">
      <c r="B8" s="6">
        <v>3</v>
      </c>
      <c r="C8" s="5" t="s">
        <v>7</v>
      </c>
      <c r="D8" s="6">
        <v>23</v>
      </c>
      <c r="E8" s="6">
        <v>2</v>
      </c>
    </row>
    <row r="9" spans="2:15" ht="15.6" x14ac:dyDescent="0.3">
      <c r="B9" s="6">
        <v>4</v>
      </c>
      <c r="C9" s="5" t="s">
        <v>8</v>
      </c>
      <c r="D9" s="6">
        <v>49</v>
      </c>
      <c r="E9" s="6">
        <v>1</v>
      </c>
    </row>
    <row r="10" spans="2:15" ht="15.6" x14ac:dyDescent="0.3">
      <c r="B10" s="6">
        <v>5</v>
      </c>
      <c r="C10" s="5" t="s">
        <v>9</v>
      </c>
      <c r="D10" s="6">
        <v>37</v>
      </c>
      <c r="E10" s="6">
        <v>7</v>
      </c>
    </row>
    <row r="11" spans="2:15" ht="15.6" x14ac:dyDescent="0.3">
      <c r="B11" s="6">
        <v>6</v>
      </c>
      <c r="C11" s="5" t="s">
        <v>10</v>
      </c>
      <c r="D11" s="6">
        <v>51</v>
      </c>
      <c r="E11" s="6">
        <v>1</v>
      </c>
      <c r="G11" t="s">
        <v>28</v>
      </c>
    </row>
    <row r="12" spans="2:15" ht="15.6" x14ac:dyDescent="0.3">
      <c r="B12" s="6">
        <v>7</v>
      </c>
      <c r="C12" s="5" t="s">
        <v>11</v>
      </c>
      <c r="D12" s="6">
        <v>40</v>
      </c>
      <c r="E12" s="6">
        <v>6</v>
      </c>
    </row>
    <row r="13" spans="2:15" ht="15.6" x14ac:dyDescent="0.3">
      <c r="B13" s="6">
        <v>8</v>
      </c>
      <c r="C13" s="5" t="s">
        <v>12</v>
      </c>
      <c r="D13" s="6">
        <v>20</v>
      </c>
      <c r="E13" s="6">
        <v>4</v>
      </c>
    </row>
    <row r="15" spans="2:15" x14ac:dyDescent="0.3">
      <c r="B15" s="18" t="s">
        <v>29</v>
      </c>
      <c r="E15" s="18" t="s">
        <v>30</v>
      </c>
      <c r="G15" s="18" t="s">
        <v>31</v>
      </c>
      <c r="I15" s="18" t="s">
        <v>32</v>
      </c>
      <c r="K15" s="18" t="s">
        <v>33</v>
      </c>
      <c r="N15" s="18" t="s">
        <v>34</v>
      </c>
    </row>
    <row r="16" spans="2:15" x14ac:dyDescent="0.3">
      <c r="B16" s="18"/>
      <c r="N16" s="2" t="s">
        <v>35</v>
      </c>
      <c r="O16" s="2" t="s">
        <v>36</v>
      </c>
    </row>
    <row r="17" spans="3:16" ht="15.6" x14ac:dyDescent="0.3">
      <c r="C17" s="6">
        <v>18</v>
      </c>
      <c r="D17" s="6">
        <v>3</v>
      </c>
      <c r="E17" s="65">
        <v>2</v>
      </c>
      <c r="G17" s="2">
        <f xml:space="preserve"> ABS(C17-C18)+ABS(D17-D18)</f>
        <v>3</v>
      </c>
      <c r="I17" s="2" t="str">
        <f>CONCATENATE(E17," y ",E18)</f>
        <v>2 y 8</v>
      </c>
      <c r="K17" s="2">
        <v>2</v>
      </c>
      <c r="L17" s="2" t="s">
        <v>37</v>
      </c>
      <c r="N17" s="2">
        <v>1</v>
      </c>
      <c r="O17" s="2">
        <v>0</v>
      </c>
    </row>
    <row r="18" spans="3:16" ht="15.6" x14ac:dyDescent="0.3">
      <c r="C18" s="6">
        <v>20</v>
      </c>
      <c r="D18" s="6">
        <v>4</v>
      </c>
      <c r="E18" s="65">
        <v>8</v>
      </c>
      <c r="G18" s="2">
        <f xml:space="preserve"> ABS(C18-C19)+ABS(D18-D19)</f>
        <v>5</v>
      </c>
      <c r="I18" s="2" t="str">
        <f t="shared" ref="I18:I24" si="0">CONCATENATE(E18," y ",E19)</f>
        <v>8 y 3</v>
      </c>
      <c r="K18" s="2">
        <v>3</v>
      </c>
      <c r="L18" s="2" t="s">
        <v>38</v>
      </c>
      <c r="N18" s="2">
        <v>2</v>
      </c>
      <c r="O18" s="2">
        <v>0</v>
      </c>
    </row>
    <row r="19" spans="3:16" ht="15.6" x14ac:dyDescent="0.3">
      <c r="C19" s="6">
        <v>23</v>
      </c>
      <c r="D19" s="6">
        <v>2</v>
      </c>
      <c r="E19" s="65">
        <v>3</v>
      </c>
      <c r="G19" s="2">
        <f t="shared" ref="G19:G23" si="1" xml:space="preserve"> ABS(C19-C20)+ABS(D19-D20)</f>
        <v>19</v>
      </c>
      <c r="I19" s="2" t="str">
        <f t="shared" si="0"/>
        <v>3 y 5</v>
      </c>
      <c r="K19" s="2">
        <v>3</v>
      </c>
      <c r="L19" s="2" t="s">
        <v>39</v>
      </c>
      <c r="N19" s="2">
        <v>3</v>
      </c>
      <c r="O19" s="2">
        <v>0</v>
      </c>
    </row>
    <row r="20" spans="3:16" ht="15.6" x14ac:dyDescent="0.3">
      <c r="C20" s="6">
        <v>37</v>
      </c>
      <c r="D20" s="6">
        <v>7</v>
      </c>
      <c r="E20" s="65">
        <v>5</v>
      </c>
      <c r="G20" s="2">
        <f t="shared" si="1"/>
        <v>4</v>
      </c>
      <c r="I20" s="2" t="str">
        <f t="shared" si="0"/>
        <v>5 y 7</v>
      </c>
      <c r="K20" s="2">
        <v>4</v>
      </c>
      <c r="L20" s="2" t="s">
        <v>40</v>
      </c>
      <c r="N20" s="2">
        <v>4</v>
      </c>
      <c r="O20" s="2">
        <v>0</v>
      </c>
    </row>
    <row r="21" spans="3:16" ht="15.6" x14ac:dyDescent="0.3">
      <c r="C21" s="6">
        <v>40</v>
      </c>
      <c r="D21" s="6">
        <v>6</v>
      </c>
      <c r="E21" s="65">
        <v>7</v>
      </c>
      <c r="G21" s="2">
        <f t="shared" si="1"/>
        <v>3</v>
      </c>
      <c r="I21" s="2" t="str">
        <f t="shared" si="0"/>
        <v>7 y 1</v>
      </c>
      <c r="K21" s="2">
        <v>5</v>
      </c>
      <c r="L21" s="2" t="s">
        <v>41</v>
      </c>
      <c r="N21" s="2">
        <v>5</v>
      </c>
      <c r="O21" s="2">
        <v>0</v>
      </c>
    </row>
    <row r="22" spans="3:16" ht="15.6" x14ac:dyDescent="0.3">
      <c r="C22" s="6">
        <v>42</v>
      </c>
      <c r="D22" s="6">
        <v>7</v>
      </c>
      <c r="E22" s="65">
        <v>1</v>
      </c>
      <c r="G22" s="2">
        <f xml:space="preserve"> ABS(C22-C23)+ABS(D22-D23)</f>
        <v>13</v>
      </c>
      <c r="I22" s="2" t="str">
        <f t="shared" si="0"/>
        <v>1 y 4</v>
      </c>
      <c r="K22" s="2">
        <v>13</v>
      </c>
      <c r="L22" s="2" t="s">
        <v>42</v>
      </c>
      <c r="N22" s="2">
        <v>6</v>
      </c>
      <c r="O22" s="2">
        <v>0</v>
      </c>
    </row>
    <row r="23" spans="3:16" ht="15.6" x14ac:dyDescent="0.3">
      <c r="C23" s="6">
        <v>49</v>
      </c>
      <c r="D23" s="6">
        <v>1</v>
      </c>
      <c r="E23" s="65">
        <v>4</v>
      </c>
      <c r="G23" s="2">
        <f t="shared" si="1"/>
        <v>2</v>
      </c>
      <c r="I23" s="2" t="str">
        <f t="shared" si="0"/>
        <v>4 y 6</v>
      </c>
      <c r="K23" s="2">
        <v>19</v>
      </c>
      <c r="L23" s="2" t="s">
        <v>43</v>
      </c>
      <c r="N23" s="2">
        <v>7</v>
      </c>
      <c r="O23" s="2">
        <v>0</v>
      </c>
    </row>
    <row r="24" spans="3:16" ht="15.6" x14ac:dyDescent="0.3">
      <c r="C24" s="6">
        <v>51</v>
      </c>
      <c r="D24" s="6">
        <v>1</v>
      </c>
      <c r="E24" s="65">
        <v>6</v>
      </c>
      <c r="G24" s="66">
        <f xml:space="preserve"> ABS(C24-C25)+ABS(D24-D25)</f>
        <v>52</v>
      </c>
      <c r="I24" s="66" t="str">
        <f t="shared" si="0"/>
        <v xml:space="preserve">6 y </v>
      </c>
      <c r="N24" s="2">
        <v>8</v>
      </c>
      <c r="O24" s="2">
        <v>0</v>
      </c>
    </row>
    <row r="25" spans="3:16" x14ac:dyDescent="0.3">
      <c r="N25" s="2">
        <v>7.5</v>
      </c>
      <c r="O25" s="2">
        <v>2</v>
      </c>
      <c r="P25" s="67" t="s">
        <v>37</v>
      </c>
    </row>
    <row r="26" spans="3:16" x14ac:dyDescent="0.3">
      <c r="N26" s="2">
        <v>1.5</v>
      </c>
      <c r="O26" s="2">
        <v>3</v>
      </c>
      <c r="P26" s="67" t="s">
        <v>38</v>
      </c>
    </row>
    <row r="27" spans="3:16" x14ac:dyDescent="0.3">
      <c r="N27" s="2">
        <v>5.5</v>
      </c>
      <c r="O27" s="2">
        <v>3</v>
      </c>
      <c r="P27" s="67" t="s">
        <v>39</v>
      </c>
    </row>
    <row r="28" spans="3:16" x14ac:dyDescent="0.3">
      <c r="N28" s="33">
        <v>4.8</v>
      </c>
      <c r="O28" s="2">
        <v>4</v>
      </c>
      <c r="P28" s="67" t="s">
        <v>40</v>
      </c>
    </row>
    <row r="29" spans="3:16" x14ac:dyDescent="0.3">
      <c r="N29" s="2">
        <v>2.2000000000000002</v>
      </c>
      <c r="O29" s="2">
        <v>5</v>
      </c>
      <c r="P29" s="67" t="s">
        <v>41</v>
      </c>
    </row>
    <row r="30" spans="3:16" x14ac:dyDescent="0.3">
      <c r="N30" s="2">
        <v>6.1</v>
      </c>
      <c r="O30" s="2">
        <v>13</v>
      </c>
      <c r="P30" s="67" t="s">
        <v>42</v>
      </c>
    </row>
    <row r="31" spans="3:16" x14ac:dyDescent="0.3">
      <c r="N31" s="2">
        <v>4.0999999999999996</v>
      </c>
      <c r="O31" s="2">
        <v>19</v>
      </c>
      <c r="P31" s="67" t="s">
        <v>43</v>
      </c>
    </row>
    <row r="32" spans="3:16" x14ac:dyDescent="0.3">
      <c r="N32" s="2"/>
      <c r="O32" s="2"/>
    </row>
    <row r="33" spans="14:19" x14ac:dyDescent="0.3">
      <c r="N33" s="2"/>
      <c r="O33" s="2"/>
    </row>
    <row r="34" spans="14:19" x14ac:dyDescent="0.3">
      <c r="N34" s="2"/>
      <c r="O34" s="2"/>
    </row>
    <row r="35" spans="14:19" x14ac:dyDescent="0.3">
      <c r="N35" s="2"/>
      <c r="O35" s="2"/>
    </row>
    <row r="36" spans="14:19" x14ac:dyDescent="0.3">
      <c r="N36" s="2"/>
      <c r="O36" s="2"/>
    </row>
    <row r="37" spans="14:19" x14ac:dyDescent="0.3">
      <c r="N37" s="33" t="s">
        <v>44</v>
      </c>
      <c r="O37" s="2"/>
    </row>
    <row r="38" spans="14:19" x14ac:dyDescent="0.3">
      <c r="N38" s="68" t="s">
        <v>26</v>
      </c>
      <c r="O38" s="68"/>
      <c r="P38" s="69" t="s">
        <v>27</v>
      </c>
      <c r="Q38" s="69"/>
      <c r="R38" s="70" t="s">
        <v>45</v>
      </c>
      <c r="S38" s="70"/>
    </row>
    <row r="39" spans="14:19" ht="15.6" x14ac:dyDescent="0.3">
      <c r="N39" s="68">
        <v>2</v>
      </c>
      <c r="O39" s="32" t="s">
        <v>6</v>
      </c>
      <c r="P39" s="69">
        <v>5</v>
      </c>
      <c r="Q39" s="24" t="s">
        <v>9</v>
      </c>
      <c r="R39" s="71">
        <v>4</v>
      </c>
      <c r="S39" s="64" t="s">
        <v>8</v>
      </c>
    </row>
    <row r="40" spans="14:19" ht="15.6" x14ac:dyDescent="0.3">
      <c r="N40" s="68">
        <v>8</v>
      </c>
      <c r="O40" s="32" t="s">
        <v>12</v>
      </c>
      <c r="P40" s="69">
        <v>7</v>
      </c>
      <c r="Q40" s="24" t="s">
        <v>11</v>
      </c>
      <c r="R40" s="71">
        <v>6</v>
      </c>
      <c r="S40" s="64" t="s">
        <v>10</v>
      </c>
    </row>
    <row r="41" spans="14:19" ht="15.6" x14ac:dyDescent="0.3">
      <c r="N41" s="68">
        <v>3</v>
      </c>
      <c r="O41" s="67" t="s">
        <v>7</v>
      </c>
      <c r="P41" s="69">
        <v>1</v>
      </c>
      <c r="Q41" s="24" t="s">
        <v>5</v>
      </c>
    </row>
    <row r="46" spans="14:19" ht="15.6" x14ac:dyDescent="0.3">
      <c r="Q46" s="5"/>
    </row>
    <row r="47" spans="14:19" ht="15.6" x14ac:dyDescent="0.3">
      <c r="Q47" s="5"/>
    </row>
    <row r="52" spans="17:17" ht="15.6" x14ac:dyDescent="0.3">
      <c r="Q52" s="5"/>
    </row>
  </sheetData>
  <sortState xmlns:xlrd2="http://schemas.microsoft.com/office/spreadsheetml/2017/richdata2" ref="G28:I34">
    <sortCondition ref="G28"/>
  </sortState>
  <mergeCells count="1">
    <mergeCell ref="B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topLeftCell="A13" zoomScale="120" zoomScaleNormal="120" workbookViewId="0"/>
  </sheetViews>
  <sheetFormatPr defaultColWidth="11.44140625" defaultRowHeight="14.4" x14ac:dyDescent="0.3"/>
  <sheetData>
    <row r="1" spans="1:7" ht="36" customHeight="1" thickBot="1" x14ac:dyDescent="0.45">
      <c r="A1" s="34" t="s">
        <v>46</v>
      </c>
    </row>
    <row r="2" spans="1:7" ht="31.8" thickBot="1" x14ac:dyDescent="0.35">
      <c r="B2" s="11" t="s">
        <v>47</v>
      </c>
      <c r="C2" s="7" t="s">
        <v>48</v>
      </c>
      <c r="D2" s="7" t="s">
        <v>49</v>
      </c>
      <c r="E2" s="7" t="s">
        <v>50</v>
      </c>
      <c r="F2" s="7" t="s">
        <v>51</v>
      </c>
      <c r="G2" s="39" t="s">
        <v>52</v>
      </c>
    </row>
    <row r="3" spans="1:7" ht="16.2" thickBot="1" x14ac:dyDescent="0.35">
      <c r="B3" s="8">
        <v>1</v>
      </c>
      <c r="C3" s="9">
        <v>5.0999999999999996</v>
      </c>
      <c r="D3" s="9">
        <v>3.5</v>
      </c>
      <c r="E3" s="9">
        <v>1.4</v>
      </c>
      <c r="F3" s="9">
        <v>0.2</v>
      </c>
      <c r="G3" s="2">
        <v>1</v>
      </c>
    </row>
    <row r="4" spans="1:7" ht="16.2" thickBot="1" x14ac:dyDescent="0.35">
      <c r="B4" s="8">
        <v>2</v>
      </c>
      <c r="C4" s="9">
        <v>4.9000000000000004</v>
      </c>
      <c r="D4" s="9">
        <v>3</v>
      </c>
      <c r="E4" s="9">
        <v>1.4</v>
      </c>
      <c r="F4" s="9">
        <v>0.2</v>
      </c>
      <c r="G4" s="2">
        <v>1</v>
      </c>
    </row>
    <row r="5" spans="1:7" ht="16.2" thickBot="1" x14ac:dyDescent="0.35">
      <c r="B5" s="8">
        <v>3</v>
      </c>
      <c r="C5" s="9">
        <v>7</v>
      </c>
      <c r="D5" s="9">
        <v>3.2</v>
      </c>
      <c r="E5" s="9">
        <v>4.7</v>
      </c>
      <c r="F5" s="9">
        <v>1.4</v>
      </c>
      <c r="G5" s="2">
        <v>2</v>
      </c>
    </row>
    <row r="6" spans="1:7" ht="16.2" thickBot="1" x14ac:dyDescent="0.35">
      <c r="B6" s="8">
        <v>4</v>
      </c>
      <c r="C6" s="9">
        <v>6.4</v>
      </c>
      <c r="D6" s="9">
        <v>3.2</v>
      </c>
      <c r="E6" s="9">
        <v>4.5</v>
      </c>
      <c r="F6" s="9">
        <v>1.5</v>
      </c>
      <c r="G6" s="2">
        <v>2</v>
      </c>
    </row>
    <row r="7" spans="1:7" ht="16.2" thickBot="1" x14ac:dyDescent="0.35">
      <c r="B7" s="8">
        <v>5</v>
      </c>
      <c r="C7" s="9">
        <v>6.3</v>
      </c>
      <c r="D7" s="9">
        <v>3.3</v>
      </c>
      <c r="E7" s="9">
        <v>6</v>
      </c>
      <c r="F7" s="9">
        <v>2.5</v>
      </c>
      <c r="G7" s="2">
        <v>2</v>
      </c>
    </row>
    <row r="8" spans="1:7" ht="16.2" thickBot="1" x14ac:dyDescent="0.35">
      <c r="B8" s="8">
        <v>6</v>
      </c>
      <c r="C8" s="13">
        <v>5.8</v>
      </c>
      <c r="D8" s="13">
        <v>2.7</v>
      </c>
      <c r="E8" s="13">
        <v>5.0999999999999996</v>
      </c>
      <c r="F8" s="13">
        <v>1.9</v>
      </c>
      <c r="G8" s="2">
        <v>2</v>
      </c>
    </row>
    <row r="9" spans="1:7" ht="16.2" thickBot="1" x14ac:dyDescent="0.35">
      <c r="B9" s="35">
        <v>7</v>
      </c>
      <c r="C9" s="36">
        <v>3.5</v>
      </c>
      <c r="D9" s="36">
        <v>3.1</v>
      </c>
      <c r="E9" s="36">
        <v>3.2</v>
      </c>
      <c r="F9" s="37">
        <v>1.3</v>
      </c>
      <c r="G9" s="2">
        <v>1</v>
      </c>
    </row>
    <row r="10" spans="1:7" ht="16.2" thickBot="1" x14ac:dyDescent="0.35">
      <c r="B10" s="35">
        <v>8</v>
      </c>
      <c r="C10" s="36">
        <v>6.9</v>
      </c>
      <c r="D10" s="36">
        <v>2.9</v>
      </c>
      <c r="E10" s="36">
        <v>5.5</v>
      </c>
      <c r="F10" s="37">
        <v>1.3</v>
      </c>
      <c r="G10" s="2">
        <v>2</v>
      </c>
    </row>
    <row r="11" spans="1:7" ht="16.2" thickBot="1" x14ac:dyDescent="0.35">
      <c r="B11" s="12">
        <v>9</v>
      </c>
      <c r="C11" s="14">
        <v>4.2</v>
      </c>
      <c r="D11" s="14">
        <v>3.4</v>
      </c>
      <c r="E11" s="14">
        <v>1.8</v>
      </c>
      <c r="F11" s="16">
        <v>1.2</v>
      </c>
      <c r="G11" s="2">
        <v>1</v>
      </c>
    </row>
    <row r="12" spans="1:7" ht="16.2" thickBot="1" x14ac:dyDescent="0.35">
      <c r="B12" s="12">
        <v>10</v>
      </c>
      <c r="C12" s="15">
        <v>5.7</v>
      </c>
      <c r="D12" s="15">
        <v>3.2</v>
      </c>
      <c r="E12" s="15">
        <v>2.5</v>
      </c>
      <c r="F12" s="17">
        <v>0.8</v>
      </c>
      <c r="G12" s="2">
        <v>1</v>
      </c>
    </row>
    <row r="15" spans="1:7" x14ac:dyDescent="0.3">
      <c r="A15" s="18" t="s">
        <v>53</v>
      </c>
      <c r="C15" s="3" t="s">
        <v>54</v>
      </c>
    </row>
    <row r="17" spans="1:12" ht="15" thickBot="1" x14ac:dyDescent="0.35">
      <c r="A17" s="18" t="s">
        <v>55</v>
      </c>
    </row>
    <row r="18" spans="1:12" ht="15" thickBot="1" x14ac:dyDescent="0.35">
      <c r="B18" t="s">
        <v>56</v>
      </c>
      <c r="C18" s="36">
        <v>3.5</v>
      </c>
      <c r="D18" s="36">
        <v>3.1</v>
      </c>
      <c r="E18" s="36">
        <v>3.2</v>
      </c>
      <c r="F18" s="37">
        <v>1.3</v>
      </c>
    </row>
    <row r="19" spans="1:12" ht="15" thickBot="1" x14ac:dyDescent="0.35">
      <c r="B19" t="s">
        <v>57</v>
      </c>
      <c r="C19" s="36">
        <v>6.9</v>
      </c>
      <c r="D19" s="36">
        <v>2.9</v>
      </c>
      <c r="E19" s="36">
        <v>5.5</v>
      </c>
      <c r="F19" s="37">
        <v>1.3</v>
      </c>
    </row>
    <row r="21" spans="1:12" x14ac:dyDescent="0.3">
      <c r="A21" s="18" t="s">
        <v>58</v>
      </c>
      <c r="G21" s="18" t="s">
        <v>59</v>
      </c>
      <c r="I21" s="18" t="s">
        <v>60</v>
      </c>
    </row>
    <row r="22" spans="1:12" x14ac:dyDescent="0.3">
      <c r="C22" s="38" t="s">
        <v>56</v>
      </c>
      <c r="D22" s="38" t="s">
        <v>61</v>
      </c>
      <c r="F22" s="2" t="s">
        <v>62</v>
      </c>
      <c r="L22" s="2" t="s">
        <v>63</v>
      </c>
    </row>
    <row r="23" spans="1:12" x14ac:dyDescent="0.3">
      <c r="B23" s="3">
        <v>1</v>
      </c>
      <c r="C23" s="2">
        <f>ABS($C$35-C3)+ABS($D$35-D3)+ABS($E$35-E3)+ABS($F$35-F3)</f>
        <v>1.8800000000000003</v>
      </c>
      <c r="D23" s="2">
        <f>ABS($C$36-C3)+ABS($D$36-D3)+ABS($E$36-E3)+ABS($F$36-F3)</f>
        <v>7.1000000000000005</v>
      </c>
      <c r="F23" s="2">
        <f>MIN(C23:D23)</f>
        <v>1.8800000000000003</v>
      </c>
      <c r="G23" s="2">
        <f>IF(F23=C23,1,2)</f>
        <v>1</v>
      </c>
      <c r="I23" s="2">
        <v>1</v>
      </c>
      <c r="J23" s="2">
        <v>1</v>
      </c>
      <c r="L23" t="str">
        <f>IF(I23=J23,"iguales", "diferentes")</f>
        <v>iguales</v>
      </c>
    </row>
    <row r="24" spans="1:12" x14ac:dyDescent="0.3">
      <c r="B24" s="3">
        <v>2</v>
      </c>
      <c r="C24" s="2">
        <f t="shared" ref="C24:C32" si="0">ABS($C$35-C4)+ABS($D$35-D4)+ABS($E$35-E4)+ABS($F$35-F4)</f>
        <v>1.6600000000000006</v>
      </c>
      <c r="D24" s="2">
        <f t="shared" ref="D24:D32" si="1">ABS($C$36-C4)+ABS($D$36-D4)+ABS($E$36-E4)+ABS($F$36-F4)</f>
        <v>6.919999999999999</v>
      </c>
      <c r="F24" s="2">
        <f t="shared" ref="F24:F32" si="2">MIN(C24:D24)</f>
        <v>1.6600000000000006</v>
      </c>
      <c r="G24" s="2">
        <f t="shared" ref="G24:G32" si="3">IF(F24=C24,1,2)</f>
        <v>1</v>
      </c>
      <c r="I24" s="2">
        <v>1</v>
      </c>
      <c r="J24" s="2">
        <v>1</v>
      </c>
      <c r="L24" t="str">
        <f t="shared" ref="L24:L32" si="4">IF(I24=J24,"iguales", "diferentes")</f>
        <v>iguales</v>
      </c>
    </row>
    <row r="25" spans="1:12" x14ac:dyDescent="0.3">
      <c r="B25" s="3">
        <v>3</v>
      </c>
      <c r="C25" s="2">
        <f t="shared" si="0"/>
        <v>5.66</v>
      </c>
      <c r="D25" s="2">
        <f t="shared" si="1"/>
        <v>1.4400000000000004</v>
      </c>
      <c r="F25" s="2">
        <f t="shared" si="2"/>
        <v>1.4400000000000004</v>
      </c>
      <c r="G25" s="2">
        <f t="shared" si="3"/>
        <v>2</v>
      </c>
      <c r="I25" s="2">
        <v>2</v>
      </c>
      <c r="J25" s="2">
        <v>2</v>
      </c>
      <c r="L25" t="str">
        <f t="shared" si="4"/>
        <v>iguales</v>
      </c>
    </row>
    <row r="26" spans="1:12" x14ac:dyDescent="0.3">
      <c r="B26" s="3">
        <v>4</v>
      </c>
      <c r="C26" s="2">
        <f t="shared" si="0"/>
        <v>4.96</v>
      </c>
      <c r="D26" s="2">
        <f t="shared" si="1"/>
        <v>1.0999999999999992</v>
      </c>
      <c r="F26" s="2">
        <f t="shared" si="2"/>
        <v>1.0999999999999992</v>
      </c>
      <c r="G26" s="2">
        <f t="shared" si="3"/>
        <v>2</v>
      </c>
      <c r="I26" s="2">
        <v>2</v>
      </c>
      <c r="J26" s="2">
        <v>2</v>
      </c>
      <c r="L26" t="str">
        <f t="shared" si="4"/>
        <v>iguales</v>
      </c>
    </row>
    <row r="27" spans="1:12" x14ac:dyDescent="0.3">
      <c r="B27" s="3">
        <v>5</v>
      </c>
      <c r="C27" s="2">
        <f t="shared" si="0"/>
        <v>7.38</v>
      </c>
      <c r="D27" s="2">
        <f t="shared" si="1"/>
        <v>2.0400000000000005</v>
      </c>
      <c r="F27" s="2">
        <f t="shared" si="2"/>
        <v>2.0400000000000005</v>
      </c>
      <c r="G27" s="2">
        <f t="shared" si="3"/>
        <v>2</v>
      </c>
      <c r="I27" s="2">
        <v>2</v>
      </c>
      <c r="J27" s="2">
        <v>2</v>
      </c>
      <c r="L27" t="str">
        <f t="shared" si="4"/>
        <v>iguales</v>
      </c>
    </row>
    <row r="28" spans="1:12" x14ac:dyDescent="0.3">
      <c r="B28" s="3">
        <v>6</v>
      </c>
      <c r="C28" s="2">
        <f t="shared" si="0"/>
        <v>5.8599999999999994</v>
      </c>
      <c r="D28" s="2">
        <f t="shared" si="1"/>
        <v>1.2799999999999985</v>
      </c>
      <c r="F28" s="2">
        <f t="shared" si="2"/>
        <v>1.2799999999999985</v>
      </c>
      <c r="G28" s="2">
        <f t="shared" si="3"/>
        <v>2</v>
      </c>
      <c r="I28" s="2">
        <v>2</v>
      </c>
      <c r="J28" s="2">
        <v>2</v>
      </c>
      <c r="L28" t="str">
        <f t="shared" si="4"/>
        <v>iguales</v>
      </c>
    </row>
    <row r="29" spans="1:12" x14ac:dyDescent="0.3">
      <c r="B29" s="3">
        <v>7</v>
      </c>
      <c r="C29" s="2">
        <f t="shared" si="0"/>
        <v>3.0199999999999996</v>
      </c>
      <c r="D29" s="2">
        <f t="shared" si="1"/>
        <v>5.3999999999999986</v>
      </c>
      <c r="F29" s="2">
        <f t="shared" si="2"/>
        <v>3.0199999999999996</v>
      </c>
      <c r="G29" s="2">
        <f t="shared" si="3"/>
        <v>1</v>
      </c>
      <c r="I29" s="2">
        <v>1</v>
      </c>
      <c r="J29" s="2">
        <v>1</v>
      </c>
      <c r="L29" t="str">
        <f t="shared" si="4"/>
        <v>iguales</v>
      </c>
    </row>
    <row r="30" spans="1:12" x14ac:dyDescent="0.3">
      <c r="B30" s="3">
        <v>8</v>
      </c>
      <c r="C30" s="2">
        <f t="shared" si="0"/>
        <v>6.5600000000000005</v>
      </c>
      <c r="D30" s="2">
        <f t="shared" si="1"/>
        <v>1.3400000000000014</v>
      </c>
      <c r="F30" s="2">
        <f t="shared" si="2"/>
        <v>1.3400000000000014</v>
      </c>
      <c r="G30" s="2">
        <f t="shared" si="3"/>
        <v>2</v>
      </c>
      <c r="I30" s="2">
        <v>2</v>
      </c>
      <c r="J30" s="2">
        <v>2</v>
      </c>
      <c r="L30" t="str">
        <f t="shared" si="4"/>
        <v>iguales</v>
      </c>
    </row>
    <row r="31" spans="1:12" x14ac:dyDescent="0.3">
      <c r="B31" s="3">
        <v>9</v>
      </c>
      <c r="C31" s="2">
        <f t="shared" si="0"/>
        <v>1.3599999999999997</v>
      </c>
      <c r="D31" s="2">
        <f t="shared" si="1"/>
        <v>6.4999999999999991</v>
      </c>
      <c r="F31" s="2">
        <f t="shared" si="2"/>
        <v>1.3599999999999997</v>
      </c>
      <c r="G31" s="2">
        <f t="shared" si="3"/>
        <v>1</v>
      </c>
      <c r="I31" s="2">
        <v>1</v>
      </c>
      <c r="J31" s="2">
        <v>1</v>
      </c>
      <c r="L31" t="str">
        <f t="shared" si="4"/>
        <v>iguales</v>
      </c>
    </row>
    <row r="32" spans="1:12" x14ac:dyDescent="0.3">
      <c r="B32" s="3">
        <v>10</v>
      </c>
      <c r="C32" s="2">
        <f t="shared" si="0"/>
        <v>1.56</v>
      </c>
      <c r="D32" s="2">
        <f t="shared" si="1"/>
        <v>4.4999999999999991</v>
      </c>
      <c r="F32" s="2">
        <f t="shared" si="2"/>
        <v>1.56</v>
      </c>
      <c r="G32" s="2">
        <f t="shared" si="3"/>
        <v>1</v>
      </c>
      <c r="I32" s="2">
        <v>1</v>
      </c>
      <c r="J32" s="2">
        <v>1</v>
      </c>
      <c r="L32" t="str">
        <f t="shared" si="4"/>
        <v>iguales</v>
      </c>
    </row>
    <row r="34" spans="1:10" ht="15" thickBot="1" x14ac:dyDescent="0.35">
      <c r="A34" s="18" t="s">
        <v>64</v>
      </c>
      <c r="I34" s="45" t="s">
        <v>65</v>
      </c>
      <c r="J34" s="45"/>
    </row>
    <row r="35" spans="1:10" ht="15" thickBot="1" x14ac:dyDescent="0.35">
      <c r="B35" t="s">
        <v>56</v>
      </c>
      <c r="C35" s="36">
        <f>AVERAGE(C3,C4,C9,C11,C12)</f>
        <v>4.68</v>
      </c>
      <c r="D35" s="36">
        <f t="shared" ref="D35:F35" si="5">AVERAGE(D3,D4,D9,D11,D12)</f>
        <v>3.2399999999999998</v>
      </c>
      <c r="E35" s="36">
        <f t="shared" si="5"/>
        <v>2.06</v>
      </c>
      <c r="F35" s="36">
        <f t="shared" si="5"/>
        <v>0.74</v>
      </c>
      <c r="I35" s="45" t="s">
        <v>26</v>
      </c>
      <c r="J35" s="45" t="s">
        <v>27</v>
      </c>
    </row>
    <row r="36" spans="1:10" ht="16.2" thickBot="1" x14ac:dyDescent="0.35">
      <c r="B36" t="s">
        <v>57</v>
      </c>
      <c r="C36" s="36">
        <f>AVERAGE(C5,C6,C7,C8,C10)</f>
        <v>6.4799999999999995</v>
      </c>
      <c r="D36" s="36">
        <f t="shared" ref="D36:F36" si="6">AVERAGE(D5,D6,D7,D8,D10)</f>
        <v>3.0599999999999996</v>
      </c>
      <c r="E36" s="36">
        <f t="shared" si="6"/>
        <v>5.1599999999999993</v>
      </c>
      <c r="F36" s="36">
        <f t="shared" si="6"/>
        <v>1.7200000000000002</v>
      </c>
      <c r="I36" s="43">
        <v>1</v>
      </c>
      <c r="J36" s="41">
        <v>3</v>
      </c>
    </row>
    <row r="37" spans="1:10" ht="16.2" thickBot="1" x14ac:dyDescent="0.35">
      <c r="I37" s="43">
        <v>2</v>
      </c>
      <c r="J37" s="41">
        <v>4</v>
      </c>
    </row>
    <row r="38" spans="1:10" ht="16.2" thickBot="1" x14ac:dyDescent="0.35">
      <c r="I38" s="44">
        <v>7</v>
      </c>
      <c r="J38" s="41">
        <v>5</v>
      </c>
    </row>
    <row r="39" spans="1:10" ht="16.2" thickBot="1" x14ac:dyDescent="0.35">
      <c r="I39" s="44">
        <v>9</v>
      </c>
      <c r="J39" s="41">
        <v>6</v>
      </c>
    </row>
    <row r="40" spans="1:10" ht="16.2" thickBot="1" x14ac:dyDescent="0.35">
      <c r="I40" s="44">
        <v>10</v>
      </c>
      <c r="J40" s="42">
        <v>8</v>
      </c>
    </row>
    <row r="41" spans="1:10" x14ac:dyDescent="0.3">
      <c r="J41" s="40"/>
    </row>
  </sheetData>
  <autoFilter ref="A2:G12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E110"/>
  <sheetViews>
    <sheetView topLeftCell="D1" zoomScaleNormal="100" workbookViewId="0">
      <selection activeCell="F62" sqref="F62"/>
    </sheetView>
  </sheetViews>
  <sheetFormatPr defaultColWidth="11.44140625" defaultRowHeight="14.4" x14ac:dyDescent="0.3"/>
  <cols>
    <col min="4" max="4" width="40.44140625" customWidth="1"/>
  </cols>
  <sheetData>
    <row r="1" spans="1:161" ht="21" x14ac:dyDescent="0.4">
      <c r="A1" s="96" t="s">
        <v>66</v>
      </c>
      <c r="B1" s="96"/>
      <c r="C1" s="9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1" ht="57.6" x14ac:dyDescent="0.3">
      <c r="A2" s="90"/>
      <c r="B2" s="91" t="s">
        <v>67</v>
      </c>
      <c r="C2" s="92" t="s">
        <v>68</v>
      </c>
      <c r="D2" s="90" t="s">
        <v>69</v>
      </c>
      <c r="E2" s="92" t="s">
        <v>70</v>
      </c>
      <c r="F2" s="92" t="s">
        <v>71</v>
      </c>
      <c r="G2" s="92" t="s">
        <v>72</v>
      </c>
      <c r="H2" s="92" t="s">
        <v>73</v>
      </c>
      <c r="I2" s="92" t="s">
        <v>74</v>
      </c>
      <c r="J2" s="92" t="s">
        <v>75</v>
      </c>
      <c r="K2" s="92" t="s">
        <v>76</v>
      </c>
      <c r="L2" s="92" t="s">
        <v>77</v>
      </c>
      <c r="M2" s="92" t="s">
        <v>78</v>
      </c>
      <c r="N2" s="92" t="s">
        <v>79</v>
      </c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0"/>
      <c r="EL2" s="90"/>
      <c r="EM2" s="90"/>
      <c r="EN2" s="90"/>
      <c r="EO2" s="90"/>
      <c r="EP2" s="90"/>
      <c r="EQ2" s="90"/>
      <c r="ER2" s="90"/>
      <c r="ES2" s="90"/>
      <c r="ET2" s="90"/>
      <c r="EU2" s="90"/>
      <c r="EV2" s="90"/>
      <c r="EW2" s="90"/>
      <c r="EX2" s="90"/>
      <c r="EY2" s="90"/>
      <c r="EZ2" s="90"/>
      <c r="FA2" s="90"/>
      <c r="FB2" s="90"/>
      <c r="FC2" s="90"/>
      <c r="FD2" s="90"/>
      <c r="FE2" s="90"/>
    </row>
    <row r="3" spans="1:161" x14ac:dyDescent="0.3">
      <c r="A3" s="90"/>
      <c r="B3" s="91">
        <v>1</v>
      </c>
      <c r="C3" s="91">
        <v>1956496</v>
      </c>
      <c r="D3" s="90" t="s">
        <v>80</v>
      </c>
      <c r="E3" s="91">
        <v>42</v>
      </c>
      <c r="F3" s="91">
        <v>1</v>
      </c>
      <c r="G3" s="91">
        <v>140</v>
      </c>
      <c r="H3" s="91">
        <v>2</v>
      </c>
      <c r="I3" s="91">
        <v>3619</v>
      </c>
      <c r="J3" s="91">
        <v>5</v>
      </c>
      <c r="K3" s="91">
        <v>15</v>
      </c>
      <c r="L3" s="91">
        <v>1</v>
      </c>
      <c r="M3" s="91">
        <v>6</v>
      </c>
      <c r="N3" s="91">
        <v>7</v>
      </c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90"/>
      <c r="EF3" s="90"/>
      <c r="EG3" s="90"/>
      <c r="EH3" s="90"/>
      <c r="EI3" s="90"/>
      <c r="EJ3" s="90"/>
      <c r="EK3" s="90"/>
      <c r="EL3" s="90"/>
      <c r="EM3" s="90"/>
      <c r="EN3" s="90"/>
      <c r="EO3" s="90"/>
      <c r="EP3" s="90"/>
      <c r="EQ3" s="90"/>
      <c r="ER3" s="90"/>
      <c r="ES3" s="90"/>
      <c r="ET3" s="90"/>
      <c r="EU3" s="90"/>
      <c r="EV3" s="90"/>
      <c r="EW3" s="90"/>
      <c r="EX3" s="90"/>
      <c r="EY3" s="90"/>
      <c r="EZ3" s="90"/>
      <c r="FA3" s="90"/>
      <c r="FB3" s="90"/>
      <c r="FC3" s="90"/>
      <c r="FD3" s="90"/>
      <c r="FE3" s="90"/>
    </row>
    <row r="4" spans="1:161" x14ac:dyDescent="0.3">
      <c r="A4" s="90"/>
      <c r="B4" s="91">
        <v>2</v>
      </c>
      <c r="C4" s="91">
        <v>1946459</v>
      </c>
      <c r="D4" s="90" t="s">
        <v>81</v>
      </c>
      <c r="E4" s="91">
        <v>43</v>
      </c>
      <c r="F4" s="91">
        <v>5</v>
      </c>
      <c r="G4" s="91">
        <v>60</v>
      </c>
      <c r="H4" s="91">
        <v>3</v>
      </c>
      <c r="I4" s="91">
        <v>14295</v>
      </c>
      <c r="J4" s="91">
        <v>1</v>
      </c>
      <c r="K4" s="91">
        <v>14</v>
      </c>
      <c r="L4" s="91">
        <v>2</v>
      </c>
      <c r="M4" s="91">
        <v>1</v>
      </c>
      <c r="N4" s="91">
        <v>2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  <c r="DA4" s="90"/>
      <c r="DB4" s="90"/>
      <c r="DC4" s="90"/>
      <c r="DD4" s="90"/>
      <c r="DE4" s="90"/>
      <c r="DF4" s="90"/>
      <c r="DG4" s="90"/>
      <c r="DH4" s="90"/>
      <c r="DI4" s="90"/>
      <c r="DJ4" s="90"/>
      <c r="DK4" s="90"/>
      <c r="DL4" s="90"/>
      <c r="DM4" s="90"/>
      <c r="DN4" s="90"/>
      <c r="DO4" s="90"/>
      <c r="DP4" s="90"/>
      <c r="DQ4" s="90"/>
      <c r="DR4" s="90"/>
      <c r="DS4" s="90"/>
      <c r="DT4" s="90"/>
      <c r="DU4" s="90"/>
      <c r="DV4" s="90"/>
      <c r="DW4" s="90"/>
      <c r="DX4" s="90"/>
      <c r="DY4" s="90"/>
      <c r="DZ4" s="90"/>
      <c r="EA4" s="90"/>
      <c r="EB4" s="90"/>
      <c r="EC4" s="90"/>
      <c r="ED4" s="90"/>
      <c r="EE4" s="90"/>
      <c r="EF4" s="90"/>
      <c r="EG4" s="90"/>
      <c r="EH4" s="90"/>
      <c r="EI4" s="90"/>
      <c r="EJ4" s="90"/>
      <c r="EK4" s="90"/>
      <c r="EL4" s="90"/>
      <c r="EM4" s="90"/>
      <c r="EN4" s="90"/>
      <c r="EO4" s="90"/>
      <c r="EP4" s="90"/>
      <c r="EQ4" s="90"/>
      <c r="ER4" s="90"/>
      <c r="ES4" s="90"/>
      <c r="ET4" s="90"/>
      <c r="EU4" s="90"/>
      <c r="EV4" s="90"/>
      <c r="EW4" s="90"/>
      <c r="EX4" s="90"/>
      <c r="EY4" s="90"/>
      <c r="EZ4" s="90"/>
      <c r="FA4" s="90"/>
      <c r="FB4" s="90"/>
      <c r="FC4" s="90"/>
      <c r="FD4" s="90"/>
      <c r="FE4" s="90"/>
    </row>
    <row r="5" spans="1:161" x14ac:dyDescent="0.3">
      <c r="A5" s="90"/>
      <c r="B5" s="91">
        <v>3</v>
      </c>
      <c r="C5" s="91">
        <v>1946839</v>
      </c>
      <c r="D5" s="90" t="s">
        <v>82</v>
      </c>
      <c r="E5" s="91">
        <v>32</v>
      </c>
      <c r="F5" s="91">
        <v>12</v>
      </c>
      <c r="G5" s="91">
        <v>132</v>
      </c>
      <c r="H5" s="91">
        <v>0</v>
      </c>
      <c r="I5" s="91">
        <v>6555</v>
      </c>
      <c r="J5" s="91">
        <v>0</v>
      </c>
      <c r="K5" s="91">
        <v>28</v>
      </c>
      <c r="L5" s="91">
        <v>4</v>
      </c>
      <c r="M5" s="91">
        <v>3</v>
      </c>
      <c r="N5" s="91">
        <v>5</v>
      </c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  <c r="DC5" s="90"/>
      <c r="DD5" s="90"/>
      <c r="DE5" s="90"/>
      <c r="DF5" s="90"/>
      <c r="DG5" s="90"/>
      <c r="DH5" s="90"/>
      <c r="DI5" s="90"/>
      <c r="DJ5" s="90"/>
      <c r="DK5" s="90"/>
      <c r="DL5" s="90"/>
      <c r="DM5" s="90"/>
      <c r="DN5" s="90"/>
      <c r="DO5" s="90"/>
      <c r="DP5" s="90"/>
      <c r="DQ5" s="90"/>
      <c r="DR5" s="90"/>
      <c r="DS5" s="90"/>
      <c r="DT5" s="90"/>
      <c r="DU5" s="90"/>
      <c r="DV5" s="90"/>
      <c r="DW5" s="90"/>
      <c r="DX5" s="90"/>
      <c r="DY5" s="90"/>
      <c r="DZ5" s="90"/>
      <c r="EA5" s="90"/>
      <c r="EB5" s="90"/>
      <c r="EC5" s="90"/>
      <c r="ED5" s="90"/>
      <c r="EE5" s="90"/>
      <c r="EF5" s="90"/>
      <c r="EG5" s="90"/>
      <c r="EH5" s="90"/>
      <c r="EI5" s="90"/>
      <c r="EJ5" s="90"/>
      <c r="EK5" s="90"/>
      <c r="EL5" s="90"/>
      <c r="EM5" s="90"/>
      <c r="EN5" s="90"/>
      <c r="EO5" s="90"/>
      <c r="EP5" s="90"/>
      <c r="EQ5" s="90"/>
      <c r="ER5" s="90"/>
      <c r="ES5" s="90"/>
      <c r="ET5" s="90"/>
      <c r="EU5" s="90"/>
      <c r="EV5" s="90"/>
      <c r="EW5" s="90"/>
      <c r="EX5" s="90"/>
      <c r="EY5" s="90"/>
      <c r="EZ5" s="90"/>
      <c r="FA5" s="90"/>
      <c r="FB5" s="90"/>
      <c r="FC5" s="90"/>
      <c r="FD5" s="90"/>
      <c r="FE5" s="90"/>
    </row>
    <row r="6" spans="1:161" x14ac:dyDescent="0.3">
      <c r="A6" s="90"/>
      <c r="B6" s="91">
        <v>4</v>
      </c>
      <c r="C6" s="91">
        <v>1915784</v>
      </c>
      <c r="D6" s="90" t="s">
        <v>83</v>
      </c>
      <c r="E6" s="91">
        <v>20</v>
      </c>
      <c r="F6" s="91">
        <v>1</v>
      </c>
      <c r="G6" s="91">
        <v>46</v>
      </c>
      <c r="H6" s="91">
        <v>1</v>
      </c>
      <c r="I6" s="91">
        <v>3585</v>
      </c>
      <c r="J6" s="91">
        <v>5</v>
      </c>
      <c r="K6" s="91">
        <v>19</v>
      </c>
      <c r="L6" s="91">
        <v>7</v>
      </c>
      <c r="M6" s="91">
        <v>5</v>
      </c>
      <c r="N6" s="91">
        <v>1</v>
      </c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90"/>
      <c r="CJ6" s="90"/>
      <c r="CK6" s="90"/>
      <c r="CL6" s="90"/>
      <c r="CM6" s="90"/>
      <c r="CN6" s="90"/>
      <c r="CO6" s="90"/>
      <c r="CP6" s="90"/>
      <c r="CQ6" s="90"/>
      <c r="CR6" s="90"/>
      <c r="CS6" s="90"/>
      <c r="CT6" s="90"/>
      <c r="CU6" s="90"/>
      <c r="CV6" s="90"/>
      <c r="CW6" s="90"/>
      <c r="CX6" s="90"/>
      <c r="CY6" s="90"/>
      <c r="CZ6" s="90"/>
      <c r="DA6" s="90"/>
      <c r="DB6" s="90"/>
      <c r="DC6" s="90"/>
      <c r="DD6" s="90"/>
      <c r="DE6" s="90"/>
      <c r="DF6" s="90"/>
      <c r="DG6" s="90"/>
      <c r="DH6" s="90"/>
      <c r="DI6" s="90"/>
      <c r="DJ6" s="90"/>
      <c r="DK6" s="90"/>
      <c r="DL6" s="90"/>
      <c r="DM6" s="90"/>
      <c r="DN6" s="90"/>
      <c r="DO6" s="90"/>
      <c r="DP6" s="90"/>
      <c r="DQ6" s="90"/>
      <c r="DR6" s="90"/>
      <c r="DS6" s="90"/>
      <c r="DT6" s="90"/>
      <c r="DU6" s="90"/>
      <c r="DV6" s="90"/>
      <c r="DW6" s="90"/>
      <c r="DX6" s="90"/>
      <c r="DY6" s="90"/>
      <c r="DZ6" s="90"/>
      <c r="EA6" s="90"/>
      <c r="EB6" s="90"/>
      <c r="EC6" s="90"/>
      <c r="ED6" s="90"/>
      <c r="EE6" s="90"/>
      <c r="EF6" s="90"/>
      <c r="EG6" s="90"/>
      <c r="EH6" s="90"/>
      <c r="EI6" s="90"/>
      <c r="EJ6" s="90"/>
      <c r="EK6" s="90"/>
      <c r="EL6" s="90"/>
      <c r="EM6" s="90"/>
      <c r="EN6" s="90"/>
      <c r="EO6" s="90"/>
      <c r="EP6" s="90"/>
      <c r="EQ6" s="90"/>
      <c r="ER6" s="90"/>
      <c r="ES6" s="90"/>
      <c r="ET6" s="90"/>
      <c r="EU6" s="90"/>
      <c r="EV6" s="90"/>
      <c r="EW6" s="90"/>
      <c r="EX6" s="90"/>
      <c r="EY6" s="90"/>
      <c r="EZ6" s="90"/>
      <c r="FA6" s="90"/>
      <c r="FB6" s="90"/>
      <c r="FC6" s="90"/>
      <c r="FD6" s="90"/>
      <c r="FE6" s="90"/>
    </row>
    <row r="7" spans="1:161" s="62" customFormat="1" x14ac:dyDescent="0.3">
      <c r="A7" s="90"/>
      <c r="B7" s="91">
        <v>5</v>
      </c>
      <c r="C7" s="91">
        <v>1956776</v>
      </c>
      <c r="D7" s="90" t="s">
        <v>84</v>
      </c>
      <c r="E7" s="91">
        <v>25</v>
      </c>
      <c r="F7" s="91">
        <v>10</v>
      </c>
      <c r="G7" s="91">
        <v>79</v>
      </c>
      <c r="H7" s="91">
        <v>2</v>
      </c>
      <c r="I7" s="91">
        <v>14654</v>
      </c>
      <c r="J7" s="91">
        <v>3</v>
      </c>
      <c r="K7" s="91">
        <v>16</v>
      </c>
      <c r="L7" s="91">
        <v>0</v>
      </c>
      <c r="M7" s="91">
        <v>2</v>
      </c>
      <c r="N7" s="91">
        <v>4</v>
      </c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</row>
    <row r="8" spans="1:161" x14ac:dyDescent="0.3">
      <c r="A8" s="90"/>
      <c r="B8" s="91">
        <v>6</v>
      </c>
      <c r="C8" s="91">
        <v>1972776</v>
      </c>
      <c r="D8" s="90" t="s">
        <v>85</v>
      </c>
      <c r="E8" s="91">
        <v>54</v>
      </c>
      <c r="F8" s="91">
        <v>7</v>
      </c>
      <c r="G8" s="91">
        <v>21</v>
      </c>
      <c r="H8" s="91">
        <v>4</v>
      </c>
      <c r="I8" s="91">
        <v>6463</v>
      </c>
      <c r="J8" s="91">
        <v>7</v>
      </c>
      <c r="K8" s="91">
        <v>9</v>
      </c>
      <c r="L8" s="91">
        <v>6</v>
      </c>
      <c r="M8" s="91">
        <v>2</v>
      </c>
      <c r="N8" s="91">
        <v>7</v>
      </c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90"/>
      <c r="CJ8" s="90"/>
      <c r="CK8" s="90"/>
      <c r="CL8" s="90"/>
      <c r="CM8" s="90"/>
      <c r="CN8" s="90"/>
      <c r="CO8" s="90"/>
      <c r="CP8" s="90"/>
      <c r="CQ8" s="90"/>
      <c r="CR8" s="90"/>
      <c r="CS8" s="90"/>
      <c r="CT8" s="90"/>
      <c r="CU8" s="90"/>
      <c r="CV8" s="90"/>
      <c r="CW8" s="90"/>
      <c r="CX8" s="90"/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90"/>
      <c r="DL8" s="90"/>
      <c r="DM8" s="90"/>
      <c r="DN8" s="90"/>
      <c r="DO8" s="90"/>
      <c r="DP8" s="90"/>
      <c r="DQ8" s="90"/>
      <c r="DR8" s="90"/>
      <c r="DS8" s="90"/>
      <c r="DT8" s="90"/>
      <c r="DU8" s="90"/>
      <c r="DV8" s="90"/>
      <c r="DW8" s="90"/>
      <c r="DX8" s="90"/>
      <c r="DY8" s="90"/>
      <c r="DZ8" s="90"/>
      <c r="EA8" s="90"/>
      <c r="EB8" s="90"/>
      <c r="EC8" s="90"/>
      <c r="ED8" s="90"/>
      <c r="EE8" s="90"/>
      <c r="EF8" s="90"/>
      <c r="EG8" s="90"/>
      <c r="EH8" s="90"/>
      <c r="EI8" s="90"/>
      <c r="EJ8" s="90"/>
      <c r="EK8" s="90"/>
      <c r="EL8" s="90"/>
      <c r="EM8" s="90"/>
      <c r="EN8" s="90"/>
      <c r="EO8" s="90"/>
      <c r="EP8" s="90"/>
      <c r="EQ8" s="90"/>
      <c r="ER8" s="90"/>
      <c r="ES8" s="90"/>
      <c r="ET8" s="90"/>
      <c r="EU8" s="90"/>
      <c r="EV8" s="90"/>
      <c r="EW8" s="90"/>
      <c r="EX8" s="90"/>
      <c r="EY8" s="90"/>
      <c r="EZ8" s="90"/>
      <c r="FA8" s="90"/>
      <c r="FB8" s="90"/>
      <c r="FC8" s="90"/>
      <c r="FD8" s="90"/>
      <c r="FE8" s="90"/>
    </row>
    <row r="9" spans="1:161" x14ac:dyDescent="0.3">
      <c r="A9" s="90"/>
      <c r="B9" s="91">
        <v>7</v>
      </c>
      <c r="C9" s="91">
        <v>1958969</v>
      </c>
      <c r="D9" s="90" t="s">
        <v>86</v>
      </c>
      <c r="E9" s="91">
        <v>33</v>
      </c>
      <c r="F9" s="91">
        <v>2</v>
      </c>
      <c r="G9" s="91">
        <v>107</v>
      </c>
      <c r="H9" s="91">
        <v>0</v>
      </c>
      <c r="I9" s="91">
        <v>7833</v>
      </c>
      <c r="J9" s="91">
        <v>8</v>
      </c>
      <c r="K9" s="91">
        <v>24</v>
      </c>
      <c r="L9" s="91">
        <v>4</v>
      </c>
      <c r="M9" s="91">
        <v>3</v>
      </c>
      <c r="N9" s="91">
        <v>6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0"/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  <c r="DL9" s="90"/>
      <c r="DM9" s="90"/>
      <c r="DN9" s="90"/>
      <c r="DO9" s="90"/>
      <c r="DP9" s="90"/>
      <c r="DQ9" s="90"/>
      <c r="DR9" s="90"/>
      <c r="DS9" s="90"/>
      <c r="DT9" s="90"/>
      <c r="DU9" s="90"/>
      <c r="DV9" s="90"/>
      <c r="DW9" s="90"/>
      <c r="DX9" s="90"/>
      <c r="DY9" s="90"/>
      <c r="DZ9" s="90"/>
      <c r="EA9" s="90"/>
      <c r="EB9" s="90"/>
      <c r="EC9" s="90"/>
      <c r="ED9" s="90"/>
      <c r="EE9" s="90"/>
      <c r="EF9" s="90"/>
      <c r="EG9" s="90"/>
      <c r="EH9" s="90"/>
      <c r="EI9" s="90"/>
      <c r="EJ9" s="90"/>
      <c r="EK9" s="90"/>
      <c r="EL9" s="90"/>
      <c r="EM9" s="90"/>
      <c r="EN9" s="90"/>
      <c r="EO9" s="90"/>
      <c r="EP9" s="90"/>
      <c r="EQ9" s="90"/>
      <c r="ER9" s="90"/>
      <c r="ES9" s="90"/>
      <c r="ET9" s="90"/>
      <c r="EU9" s="90"/>
      <c r="EV9" s="90"/>
      <c r="EW9" s="90"/>
      <c r="EX9" s="90"/>
      <c r="EY9" s="90"/>
      <c r="EZ9" s="90"/>
      <c r="FA9" s="90"/>
      <c r="FB9" s="90"/>
      <c r="FC9" s="90"/>
      <c r="FD9" s="90"/>
      <c r="FE9" s="90"/>
    </row>
    <row r="10" spans="1:161" x14ac:dyDescent="0.3">
      <c r="A10" s="90"/>
      <c r="B10" s="91">
        <v>8</v>
      </c>
      <c r="C10" s="91">
        <v>1967427</v>
      </c>
      <c r="D10" s="90" t="s">
        <v>87</v>
      </c>
      <c r="E10" s="91">
        <v>46</v>
      </c>
      <c r="F10" s="91">
        <v>11</v>
      </c>
      <c r="G10" s="91">
        <v>75</v>
      </c>
      <c r="H10" s="91">
        <v>0</v>
      </c>
      <c r="I10" s="91">
        <v>11403</v>
      </c>
      <c r="J10" s="91">
        <v>6</v>
      </c>
      <c r="K10" s="91">
        <v>25</v>
      </c>
      <c r="L10" s="91">
        <v>6</v>
      </c>
      <c r="M10" s="91">
        <v>3</v>
      </c>
      <c r="N10" s="91">
        <v>6</v>
      </c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  <c r="CT10" s="90"/>
      <c r="CU10" s="90"/>
      <c r="CV10" s="90"/>
      <c r="CW10" s="90"/>
      <c r="CX10" s="90"/>
      <c r="CY10" s="90"/>
      <c r="CZ10" s="90"/>
      <c r="DA10" s="90"/>
      <c r="DB10" s="90"/>
      <c r="DC10" s="90"/>
      <c r="DD10" s="90"/>
      <c r="DE10" s="90"/>
      <c r="DF10" s="90"/>
      <c r="DG10" s="90"/>
      <c r="DH10" s="90"/>
      <c r="DI10" s="90"/>
      <c r="DJ10" s="90"/>
      <c r="DK10" s="90"/>
      <c r="DL10" s="90"/>
      <c r="DM10" s="90"/>
      <c r="DN10" s="90"/>
      <c r="DO10" s="90"/>
      <c r="DP10" s="90"/>
      <c r="DQ10" s="90"/>
      <c r="DR10" s="90"/>
      <c r="DS10" s="90"/>
      <c r="DT10" s="90"/>
      <c r="DU10" s="90"/>
      <c r="DV10" s="90"/>
      <c r="DW10" s="90"/>
      <c r="DX10" s="90"/>
      <c r="DY10" s="90"/>
      <c r="DZ10" s="90"/>
      <c r="EA10" s="90"/>
      <c r="EB10" s="90"/>
      <c r="EC10" s="90"/>
      <c r="ED10" s="90"/>
      <c r="EE10" s="90"/>
      <c r="EF10" s="90"/>
      <c r="EG10" s="90"/>
      <c r="EH10" s="90"/>
      <c r="EI10" s="90"/>
      <c r="EJ10" s="90"/>
      <c r="EK10" s="90"/>
      <c r="EL10" s="90"/>
      <c r="EM10" s="90"/>
      <c r="EN10" s="90"/>
      <c r="EO10" s="90"/>
      <c r="EP10" s="90"/>
      <c r="EQ10" s="90"/>
      <c r="ER10" s="90"/>
      <c r="ES10" s="90"/>
      <c r="ET10" s="90"/>
      <c r="EU10" s="90"/>
      <c r="EV10" s="90"/>
      <c r="EW10" s="90"/>
      <c r="EX10" s="90"/>
      <c r="EY10" s="90"/>
      <c r="EZ10" s="90"/>
      <c r="FA10" s="90"/>
      <c r="FB10" s="90"/>
      <c r="FC10" s="90"/>
      <c r="FD10" s="90"/>
      <c r="FE10" s="90"/>
    </row>
    <row r="11" spans="1:161" x14ac:dyDescent="0.3">
      <c r="A11" s="90"/>
      <c r="B11" s="91">
        <v>9</v>
      </c>
      <c r="C11" s="91">
        <v>1970396</v>
      </c>
      <c r="D11" s="90" t="s">
        <v>88</v>
      </c>
      <c r="E11" s="91">
        <v>36</v>
      </c>
      <c r="F11" s="91">
        <v>1</v>
      </c>
      <c r="G11" s="91">
        <v>33</v>
      </c>
      <c r="H11" s="91">
        <v>2</v>
      </c>
      <c r="I11" s="91">
        <v>5781</v>
      </c>
      <c r="J11" s="91">
        <v>6</v>
      </c>
      <c r="K11" s="91">
        <v>6</v>
      </c>
      <c r="L11" s="91">
        <v>2</v>
      </c>
      <c r="M11" s="91">
        <v>3</v>
      </c>
      <c r="N11" s="91">
        <v>5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90"/>
      <c r="CG11" s="90"/>
      <c r="CH11" s="90"/>
      <c r="CI11" s="90"/>
      <c r="CJ11" s="90"/>
      <c r="CK11" s="90"/>
      <c r="CL11" s="90"/>
      <c r="CM11" s="90"/>
      <c r="CN11" s="90"/>
      <c r="CO11" s="90"/>
      <c r="CP11" s="90"/>
      <c r="CQ11" s="90"/>
      <c r="CR11" s="90"/>
      <c r="CS11" s="90"/>
      <c r="CT11" s="90"/>
      <c r="CU11" s="90"/>
      <c r="CV11" s="90"/>
      <c r="CW11" s="90"/>
      <c r="CX11" s="90"/>
      <c r="CY11" s="90"/>
      <c r="CZ11" s="90"/>
      <c r="DA11" s="90"/>
      <c r="DB11" s="90"/>
      <c r="DC11" s="90"/>
      <c r="DD11" s="90"/>
      <c r="DE11" s="90"/>
      <c r="DF11" s="90"/>
      <c r="DG11" s="90"/>
      <c r="DH11" s="90"/>
      <c r="DI11" s="90"/>
      <c r="DJ11" s="90"/>
      <c r="DK11" s="90"/>
      <c r="DL11" s="90"/>
      <c r="DM11" s="90"/>
      <c r="DN11" s="90"/>
      <c r="DO11" s="90"/>
      <c r="DP11" s="90"/>
      <c r="DQ11" s="90"/>
      <c r="DR11" s="90"/>
      <c r="DS11" s="90"/>
      <c r="DT11" s="90"/>
      <c r="DU11" s="90"/>
      <c r="DV11" s="90"/>
      <c r="DW11" s="90"/>
      <c r="DX11" s="90"/>
      <c r="DY11" s="90"/>
      <c r="DZ11" s="90"/>
      <c r="EA11" s="90"/>
      <c r="EB11" s="90"/>
      <c r="EC11" s="90"/>
      <c r="ED11" s="90"/>
      <c r="EE11" s="90"/>
      <c r="EF11" s="90"/>
      <c r="EG11" s="90"/>
      <c r="EH11" s="90"/>
      <c r="EI11" s="90"/>
      <c r="EJ11" s="90"/>
      <c r="EK11" s="90"/>
      <c r="EL11" s="90"/>
      <c r="EM11" s="90"/>
      <c r="EN11" s="90"/>
      <c r="EO11" s="90"/>
      <c r="EP11" s="90"/>
      <c r="EQ11" s="90"/>
      <c r="ER11" s="90"/>
      <c r="ES11" s="90"/>
      <c r="ET11" s="90"/>
      <c r="EU11" s="90"/>
      <c r="EV11" s="90"/>
      <c r="EW11" s="90"/>
      <c r="EX11" s="90"/>
      <c r="EY11" s="90"/>
      <c r="EZ11" s="90"/>
      <c r="FA11" s="90"/>
      <c r="FB11" s="90"/>
      <c r="FC11" s="90"/>
      <c r="FD11" s="90"/>
      <c r="FE11" s="90"/>
    </row>
    <row r="12" spans="1:161" x14ac:dyDescent="0.3">
      <c r="A12" s="90"/>
      <c r="B12" s="91">
        <v>10</v>
      </c>
      <c r="C12" s="91">
        <v>2079503</v>
      </c>
      <c r="D12" s="90" t="s">
        <v>89</v>
      </c>
      <c r="E12" s="91">
        <v>64</v>
      </c>
      <c r="F12" s="91">
        <v>4</v>
      </c>
      <c r="G12" s="91">
        <v>91</v>
      </c>
      <c r="H12" s="91">
        <v>1</v>
      </c>
      <c r="I12" s="91">
        <v>10858</v>
      </c>
      <c r="J12" s="91">
        <v>9</v>
      </c>
      <c r="K12" s="91">
        <v>3</v>
      </c>
      <c r="L12" s="91">
        <v>2</v>
      </c>
      <c r="M12" s="91">
        <v>6</v>
      </c>
      <c r="N12" s="91">
        <v>2</v>
      </c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  <c r="CG12" s="90"/>
      <c r="CH12" s="90"/>
      <c r="CI12" s="90"/>
      <c r="CJ12" s="90"/>
      <c r="CK12" s="90"/>
      <c r="CL12" s="90"/>
      <c r="CM12" s="90"/>
      <c r="CN12" s="90"/>
      <c r="CO12" s="90"/>
      <c r="CP12" s="90"/>
      <c r="CQ12" s="90"/>
      <c r="CR12" s="90"/>
      <c r="CS12" s="90"/>
      <c r="CT12" s="90"/>
      <c r="CU12" s="90"/>
      <c r="CV12" s="90"/>
      <c r="CW12" s="90"/>
      <c r="CX12" s="90"/>
      <c r="CY12" s="90"/>
      <c r="CZ12" s="90"/>
      <c r="DA12" s="90"/>
      <c r="DB12" s="90"/>
      <c r="DC12" s="90"/>
      <c r="DD12" s="90"/>
      <c r="DE12" s="90"/>
      <c r="DF12" s="90"/>
      <c r="DG12" s="90"/>
      <c r="DH12" s="90"/>
      <c r="DI12" s="90"/>
      <c r="DJ12" s="90"/>
      <c r="DK12" s="90"/>
      <c r="DL12" s="90"/>
      <c r="DM12" s="90"/>
      <c r="DN12" s="90"/>
      <c r="DO12" s="90"/>
      <c r="DP12" s="90"/>
      <c r="DQ12" s="90"/>
      <c r="DR12" s="90"/>
      <c r="DS12" s="90"/>
      <c r="DT12" s="90"/>
      <c r="DU12" s="90"/>
      <c r="DV12" s="90"/>
      <c r="DW12" s="90"/>
      <c r="DX12" s="90"/>
      <c r="DY12" s="90"/>
      <c r="DZ12" s="90"/>
      <c r="EA12" s="90"/>
      <c r="EB12" s="90"/>
      <c r="EC12" s="90"/>
      <c r="ED12" s="90"/>
      <c r="EE12" s="90"/>
      <c r="EF12" s="90"/>
      <c r="EG12" s="90"/>
      <c r="EH12" s="90"/>
      <c r="EI12" s="90"/>
      <c r="EJ12" s="90"/>
      <c r="EK12" s="90"/>
      <c r="EL12" s="90"/>
      <c r="EM12" s="90"/>
      <c r="EN12" s="90"/>
      <c r="EO12" s="90"/>
      <c r="EP12" s="90"/>
      <c r="EQ12" s="90"/>
      <c r="ER12" s="90"/>
      <c r="ES12" s="90"/>
      <c r="ET12" s="90"/>
      <c r="EU12" s="90"/>
      <c r="EV12" s="90"/>
      <c r="EW12" s="90"/>
      <c r="EX12" s="90"/>
      <c r="EY12" s="90"/>
      <c r="EZ12" s="90"/>
      <c r="FA12" s="90"/>
      <c r="FB12" s="90"/>
      <c r="FC12" s="90"/>
      <c r="FD12" s="90"/>
      <c r="FE12" s="90"/>
    </row>
    <row r="13" spans="1:161" x14ac:dyDescent="0.3">
      <c r="A13" s="90"/>
      <c r="B13" s="91">
        <v>11</v>
      </c>
      <c r="C13" s="91">
        <v>1959927</v>
      </c>
      <c r="D13" s="90" t="s">
        <v>90</v>
      </c>
      <c r="E13" s="91">
        <v>32</v>
      </c>
      <c r="F13" s="91">
        <v>6</v>
      </c>
      <c r="G13" s="91">
        <v>30</v>
      </c>
      <c r="H13" s="91">
        <v>3</v>
      </c>
      <c r="I13" s="91">
        <v>7899</v>
      </c>
      <c r="J13" s="91">
        <v>4</v>
      </c>
      <c r="K13" s="91">
        <v>6</v>
      </c>
      <c r="L13" s="91">
        <v>1</v>
      </c>
      <c r="M13" s="91">
        <v>7</v>
      </c>
      <c r="N13" s="91">
        <v>2</v>
      </c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0"/>
      <c r="CJ13" s="90"/>
      <c r="CK13" s="90"/>
      <c r="CL13" s="90"/>
      <c r="CM13" s="90"/>
      <c r="CN13" s="90"/>
      <c r="CO13" s="90"/>
      <c r="CP13" s="90"/>
      <c r="CQ13" s="90"/>
      <c r="CR13" s="90"/>
      <c r="CS13" s="90"/>
      <c r="CT13" s="90"/>
      <c r="CU13" s="90"/>
      <c r="CV13" s="90"/>
      <c r="CW13" s="90"/>
      <c r="CX13" s="90"/>
      <c r="CY13" s="90"/>
      <c r="CZ13" s="90"/>
      <c r="DA13" s="90"/>
      <c r="DB13" s="90"/>
      <c r="DC13" s="90"/>
      <c r="DD13" s="90"/>
      <c r="DE13" s="90"/>
      <c r="DF13" s="90"/>
      <c r="DG13" s="90"/>
      <c r="DH13" s="90"/>
      <c r="DI13" s="90"/>
      <c r="DJ13" s="90"/>
      <c r="DK13" s="90"/>
      <c r="DL13" s="90"/>
      <c r="DM13" s="90"/>
      <c r="DN13" s="90"/>
      <c r="DO13" s="90"/>
      <c r="DP13" s="90"/>
      <c r="DQ13" s="90"/>
      <c r="DR13" s="90"/>
      <c r="DS13" s="90"/>
      <c r="DT13" s="90"/>
      <c r="DU13" s="90"/>
      <c r="DV13" s="90"/>
      <c r="DW13" s="90"/>
      <c r="DX13" s="90"/>
      <c r="DY13" s="90"/>
      <c r="DZ13" s="90"/>
      <c r="EA13" s="90"/>
      <c r="EB13" s="90"/>
      <c r="EC13" s="90"/>
      <c r="ED13" s="90"/>
      <c r="EE13" s="90"/>
      <c r="EF13" s="90"/>
      <c r="EG13" s="90"/>
      <c r="EH13" s="90"/>
      <c r="EI13" s="90"/>
      <c r="EJ13" s="90"/>
      <c r="EK13" s="90"/>
      <c r="EL13" s="90"/>
      <c r="EM13" s="90"/>
      <c r="EN13" s="90"/>
      <c r="EO13" s="90"/>
      <c r="EP13" s="90"/>
      <c r="EQ13" s="90"/>
      <c r="ER13" s="90"/>
      <c r="ES13" s="90"/>
      <c r="ET13" s="90"/>
      <c r="EU13" s="90"/>
      <c r="EV13" s="90"/>
      <c r="EW13" s="90"/>
      <c r="EX13" s="90"/>
      <c r="EY13" s="90"/>
      <c r="EZ13" s="90"/>
      <c r="FA13" s="90"/>
      <c r="FB13" s="90"/>
      <c r="FC13" s="90"/>
      <c r="FD13" s="90"/>
      <c r="FE13" s="90"/>
    </row>
    <row r="14" spans="1:161" x14ac:dyDescent="0.3">
      <c r="A14" s="90"/>
      <c r="B14" s="91">
        <v>12</v>
      </c>
      <c r="C14" s="91">
        <v>1951534</v>
      </c>
      <c r="D14" s="90" t="s">
        <v>91</v>
      </c>
      <c r="E14" s="91">
        <v>23</v>
      </c>
      <c r="F14" s="91">
        <v>11</v>
      </c>
      <c r="G14" s="91">
        <v>86</v>
      </c>
      <c r="H14" s="91">
        <v>3</v>
      </c>
      <c r="I14" s="91">
        <v>7682</v>
      </c>
      <c r="J14" s="91">
        <v>0</v>
      </c>
      <c r="K14" s="91">
        <v>12</v>
      </c>
      <c r="L14" s="91">
        <v>3</v>
      </c>
      <c r="M14" s="91">
        <v>7</v>
      </c>
      <c r="N14" s="91">
        <v>7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90"/>
      <c r="CO14" s="90"/>
      <c r="CP14" s="90"/>
      <c r="CQ14" s="90"/>
      <c r="CR14" s="90"/>
      <c r="CS14" s="90"/>
      <c r="CT14" s="90"/>
      <c r="CU14" s="90"/>
      <c r="CV14" s="90"/>
      <c r="CW14" s="90"/>
      <c r="CX14" s="90"/>
      <c r="CY14" s="90"/>
      <c r="CZ14" s="90"/>
      <c r="DA14" s="90"/>
      <c r="DB14" s="90"/>
      <c r="DC14" s="90"/>
      <c r="DD14" s="90"/>
      <c r="DE14" s="90"/>
      <c r="DF14" s="90"/>
      <c r="DG14" s="90"/>
      <c r="DH14" s="90"/>
      <c r="DI14" s="90"/>
      <c r="DJ14" s="90"/>
      <c r="DK14" s="90"/>
      <c r="DL14" s="90"/>
      <c r="DM14" s="90"/>
      <c r="DN14" s="90"/>
      <c r="DO14" s="90"/>
      <c r="DP14" s="90"/>
      <c r="DQ14" s="90"/>
      <c r="DR14" s="90"/>
      <c r="DS14" s="90"/>
      <c r="DT14" s="90"/>
      <c r="DU14" s="90"/>
      <c r="DV14" s="90"/>
      <c r="DW14" s="90"/>
      <c r="DX14" s="90"/>
      <c r="DY14" s="90"/>
      <c r="DZ14" s="90"/>
      <c r="EA14" s="90"/>
      <c r="EB14" s="90"/>
      <c r="EC14" s="90"/>
      <c r="ED14" s="90"/>
      <c r="EE14" s="90"/>
      <c r="EF14" s="90"/>
      <c r="EG14" s="90"/>
      <c r="EH14" s="90"/>
      <c r="EI14" s="90"/>
      <c r="EJ14" s="90"/>
      <c r="EK14" s="90"/>
      <c r="EL14" s="90"/>
      <c r="EM14" s="90"/>
      <c r="EN14" s="90"/>
      <c r="EO14" s="90"/>
      <c r="EP14" s="90"/>
      <c r="EQ14" s="90"/>
      <c r="ER14" s="90"/>
      <c r="ES14" s="90"/>
      <c r="ET14" s="90"/>
      <c r="EU14" s="90"/>
      <c r="EV14" s="90"/>
      <c r="EW14" s="90"/>
      <c r="EX14" s="90"/>
      <c r="EY14" s="90"/>
      <c r="EZ14" s="90"/>
      <c r="FA14" s="90"/>
      <c r="FB14" s="90"/>
      <c r="FC14" s="90"/>
      <c r="FD14" s="90"/>
      <c r="FE14" s="90"/>
    </row>
    <row r="15" spans="1:161" x14ac:dyDescent="0.3">
      <c r="A15" s="90"/>
      <c r="B15" s="91">
        <v>13</v>
      </c>
      <c r="C15" s="91">
        <v>2079538</v>
      </c>
      <c r="D15" s="90" t="s">
        <v>92</v>
      </c>
      <c r="E15" s="91">
        <v>65</v>
      </c>
      <c r="F15" s="91">
        <v>6</v>
      </c>
      <c r="G15" s="91">
        <v>18</v>
      </c>
      <c r="H15" s="91">
        <v>0</v>
      </c>
      <c r="I15" s="91">
        <v>13685</v>
      </c>
      <c r="J15" s="91">
        <v>2</v>
      </c>
      <c r="K15" s="91">
        <v>16</v>
      </c>
      <c r="L15" s="91">
        <v>7</v>
      </c>
      <c r="M15" s="91">
        <v>5</v>
      </c>
      <c r="N15" s="91">
        <v>7</v>
      </c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  <c r="CT15" s="90"/>
      <c r="CU15" s="90"/>
      <c r="CV15" s="90"/>
      <c r="CW15" s="90"/>
      <c r="CX15" s="90"/>
      <c r="CY15" s="90"/>
      <c r="CZ15" s="90"/>
      <c r="DA15" s="90"/>
      <c r="DB15" s="90"/>
      <c r="DC15" s="90"/>
      <c r="DD15" s="90"/>
      <c r="DE15" s="90"/>
      <c r="DF15" s="90"/>
      <c r="DG15" s="90"/>
      <c r="DH15" s="90"/>
      <c r="DI15" s="90"/>
      <c r="DJ15" s="90"/>
      <c r="DK15" s="90"/>
      <c r="DL15" s="90"/>
      <c r="DM15" s="90"/>
      <c r="DN15" s="90"/>
      <c r="DO15" s="90"/>
      <c r="DP15" s="90"/>
      <c r="DQ15" s="90"/>
      <c r="DR15" s="90"/>
      <c r="DS15" s="90"/>
      <c r="DT15" s="90"/>
      <c r="DU15" s="90"/>
      <c r="DV15" s="90"/>
      <c r="DW15" s="90"/>
      <c r="DX15" s="90"/>
      <c r="DY15" s="90"/>
      <c r="DZ15" s="90"/>
      <c r="EA15" s="90"/>
      <c r="EB15" s="90"/>
      <c r="EC15" s="90"/>
      <c r="ED15" s="90"/>
      <c r="EE15" s="90"/>
      <c r="EF15" s="90"/>
      <c r="EG15" s="90"/>
      <c r="EH15" s="90"/>
      <c r="EI15" s="90"/>
      <c r="EJ15" s="90"/>
      <c r="EK15" s="90"/>
      <c r="EL15" s="90"/>
      <c r="EM15" s="90"/>
      <c r="EN15" s="90"/>
      <c r="EO15" s="90"/>
      <c r="EP15" s="90"/>
      <c r="EQ15" s="90"/>
      <c r="ER15" s="90"/>
      <c r="ES15" s="90"/>
      <c r="ET15" s="90"/>
      <c r="EU15" s="90"/>
      <c r="EV15" s="90"/>
      <c r="EW15" s="90"/>
      <c r="EX15" s="90"/>
      <c r="EY15" s="90"/>
      <c r="EZ15" s="90"/>
      <c r="FA15" s="90"/>
      <c r="FB15" s="90"/>
      <c r="FC15" s="90"/>
      <c r="FD15" s="90"/>
      <c r="FE15" s="90"/>
    </row>
    <row r="16" spans="1:161" x14ac:dyDescent="0.3">
      <c r="A16" s="90"/>
      <c r="B16" s="91">
        <v>14</v>
      </c>
      <c r="C16" s="91">
        <v>1979637</v>
      </c>
      <c r="D16" s="90" t="s">
        <v>93</v>
      </c>
      <c r="E16" s="91">
        <v>44</v>
      </c>
      <c r="F16" s="91">
        <v>1</v>
      </c>
      <c r="G16" s="91">
        <v>90</v>
      </c>
      <c r="H16" s="91">
        <v>4</v>
      </c>
      <c r="I16" s="91">
        <v>5741</v>
      </c>
      <c r="J16" s="91">
        <v>4</v>
      </c>
      <c r="K16" s="91">
        <v>1</v>
      </c>
      <c r="L16" s="91">
        <v>4</v>
      </c>
      <c r="M16" s="91">
        <v>4</v>
      </c>
      <c r="N16" s="91">
        <v>7</v>
      </c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  <c r="CN16" s="90"/>
      <c r="CO16" s="90"/>
      <c r="CP16" s="90"/>
      <c r="CQ16" s="90"/>
      <c r="CR16" s="90"/>
      <c r="CS16" s="90"/>
      <c r="CT16" s="90"/>
      <c r="CU16" s="90"/>
      <c r="CV16" s="90"/>
      <c r="CW16" s="90"/>
      <c r="CX16" s="90"/>
      <c r="CY16" s="90"/>
      <c r="CZ16" s="90"/>
      <c r="DA16" s="90"/>
      <c r="DB16" s="90"/>
      <c r="DC16" s="90"/>
      <c r="DD16" s="90"/>
      <c r="DE16" s="90"/>
      <c r="DF16" s="90"/>
      <c r="DG16" s="90"/>
      <c r="DH16" s="90"/>
      <c r="DI16" s="90"/>
      <c r="DJ16" s="90"/>
      <c r="DK16" s="90"/>
      <c r="DL16" s="90"/>
      <c r="DM16" s="90"/>
      <c r="DN16" s="90"/>
      <c r="DO16" s="90"/>
      <c r="DP16" s="90"/>
      <c r="DQ16" s="90"/>
      <c r="DR16" s="90"/>
      <c r="DS16" s="90"/>
      <c r="DT16" s="90"/>
      <c r="DU16" s="90"/>
      <c r="DV16" s="90"/>
      <c r="DW16" s="90"/>
      <c r="DX16" s="90"/>
      <c r="DY16" s="90"/>
      <c r="DZ16" s="90"/>
      <c r="EA16" s="90"/>
      <c r="EB16" s="90"/>
      <c r="EC16" s="90"/>
      <c r="ED16" s="90"/>
      <c r="EE16" s="90"/>
      <c r="EF16" s="90"/>
      <c r="EG16" s="90"/>
      <c r="EH16" s="90"/>
      <c r="EI16" s="90"/>
      <c r="EJ16" s="90"/>
      <c r="EK16" s="90"/>
      <c r="EL16" s="90"/>
      <c r="EM16" s="90"/>
      <c r="EN16" s="90"/>
      <c r="EO16" s="90"/>
      <c r="EP16" s="90"/>
      <c r="EQ16" s="90"/>
      <c r="ER16" s="90"/>
      <c r="ES16" s="90"/>
      <c r="ET16" s="90"/>
      <c r="EU16" s="90"/>
      <c r="EV16" s="90"/>
      <c r="EW16" s="90"/>
      <c r="EX16" s="90"/>
      <c r="EY16" s="90"/>
      <c r="EZ16" s="90"/>
      <c r="FA16" s="90"/>
      <c r="FB16" s="90"/>
      <c r="FC16" s="90"/>
      <c r="FD16" s="90"/>
      <c r="FE16" s="90"/>
    </row>
    <row r="17" spans="1:161" x14ac:dyDescent="0.3">
      <c r="A17" s="90"/>
      <c r="B17" s="91">
        <v>15</v>
      </c>
      <c r="C17" s="91">
        <v>1946634</v>
      </c>
      <c r="D17" s="90" t="s">
        <v>94</v>
      </c>
      <c r="E17" s="91">
        <v>46</v>
      </c>
      <c r="F17" s="91">
        <v>7</v>
      </c>
      <c r="G17" s="91">
        <v>75</v>
      </c>
      <c r="H17" s="91">
        <v>5</v>
      </c>
      <c r="I17" s="91">
        <v>13465</v>
      </c>
      <c r="J17" s="91">
        <v>8</v>
      </c>
      <c r="K17" s="91">
        <v>27</v>
      </c>
      <c r="L17" s="91">
        <v>0</v>
      </c>
      <c r="M17" s="91">
        <v>6</v>
      </c>
      <c r="N17" s="91">
        <v>2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  <c r="DL17" s="90"/>
      <c r="DM17" s="90"/>
      <c r="DN17" s="90"/>
      <c r="DO17" s="90"/>
      <c r="DP17" s="90"/>
      <c r="DQ17" s="90"/>
      <c r="DR17" s="90"/>
      <c r="DS17" s="90"/>
      <c r="DT17" s="90"/>
      <c r="DU17" s="90"/>
      <c r="DV17" s="90"/>
      <c r="DW17" s="90"/>
      <c r="DX17" s="90"/>
      <c r="DY17" s="90"/>
      <c r="DZ17" s="90"/>
      <c r="EA17" s="90"/>
      <c r="EB17" s="90"/>
      <c r="EC17" s="90"/>
      <c r="ED17" s="90"/>
      <c r="EE17" s="90"/>
      <c r="EF17" s="90"/>
      <c r="EG17" s="90"/>
      <c r="EH17" s="90"/>
      <c r="EI17" s="90"/>
      <c r="EJ17" s="90"/>
      <c r="EK17" s="90"/>
      <c r="EL17" s="90"/>
      <c r="EM17" s="90"/>
      <c r="EN17" s="90"/>
      <c r="EO17" s="90"/>
      <c r="EP17" s="90"/>
      <c r="EQ17" s="90"/>
      <c r="ER17" s="90"/>
      <c r="ES17" s="90"/>
      <c r="ET17" s="90"/>
      <c r="EU17" s="90"/>
      <c r="EV17" s="90"/>
      <c r="EW17" s="90"/>
      <c r="EX17" s="90"/>
      <c r="EY17" s="90"/>
      <c r="EZ17" s="90"/>
      <c r="FA17" s="90"/>
      <c r="FB17" s="90"/>
      <c r="FC17" s="90"/>
      <c r="FD17" s="90"/>
      <c r="FE17" s="90"/>
    </row>
    <row r="18" spans="1:161" x14ac:dyDescent="0.3">
      <c r="A18" s="90"/>
      <c r="B18" s="91">
        <v>16</v>
      </c>
      <c r="C18" s="91">
        <v>1973088</v>
      </c>
      <c r="D18" s="90" t="s">
        <v>95</v>
      </c>
      <c r="E18" s="91">
        <v>23</v>
      </c>
      <c r="F18" s="91">
        <v>8</v>
      </c>
      <c r="G18" s="91">
        <v>32</v>
      </c>
      <c r="H18" s="91">
        <v>3</v>
      </c>
      <c r="I18" s="91">
        <v>9074</v>
      </c>
      <c r="J18" s="91">
        <v>10</v>
      </c>
      <c r="K18" s="91">
        <v>20</v>
      </c>
      <c r="L18" s="91">
        <v>6</v>
      </c>
      <c r="M18" s="91">
        <v>4</v>
      </c>
      <c r="N18" s="91">
        <v>2</v>
      </c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  <c r="CN18" s="90"/>
      <c r="CO18" s="90"/>
      <c r="CP18" s="90"/>
      <c r="CQ18" s="90"/>
      <c r="CR18" s="90"/>
      <c r="CS18" s="90"/>
      <c r="CT18" s="90"/>
      <c r="CU18" s="90"/>
      <c r="CV18" s="90"/>
      <c r="CW18" s="90"/>
      <c r="CX18" s="90"/>
      <c r="CY18" s="90"/>
      <c r="CZ18" s="90"/>
      <c r="DA18" s="90"/>
      <c r="DB18" s="90"/>
      <c r="DC18" s="90"/>
      <c r="DD18" s="90"/>
      <c r="DE18" s="90"/>
      <c r="DF18" s="90"/>
      <c r="DG18" s="90"/>
      <c r="DH18" s="90"/>
      <c r="DI18" s="90"/>
      <c r="DJ18" s="90"/>
      <c r="DK18" s="90"/>
      <c r="DL18" s="90"/>
      <c r="DM18" s="90"/>
      <c r="DN18" s="90"/>
      <c r="DO18" s="90"/>
      <c r="DP18" s="90"/>
      <c r="DQ18" s="90"/>
      <c r="DR18" s="90"/>
      <c r="DS18" s="90"/>
      <c r="DT18" s="90"/>
      <c r="DU18" s="90"/>
      <c r="DV18" s="90"/>
      <c r="DW18" s="90"/>
      <c r="DX18" s="90"/>
      <c r="DY18" s="90"/>
      <c r="DZ18" s="90"/>
      <c r="EA18" s="90"/>
      <c r="EB18" s="90"/>
      <c r="EC18" s="90"/>
      <c r="ED18" s="90"/>
      <c r="EE18" s="90"/>
      <c r="EF18" s="90"/>
      <c r="EG18" s="90"/>
      <c r="EH18" s="90"/>
      <c r="EI18" s="90"/>
      <c r="EJ18" s="90"/>
      <c r="EK18" s="90"/>
      <c r="EL18" s="90"/>
      <c r="EM18" s="90"/>
      <c r="EN18" s="90"/>
      <c r="EO18" s="90"/>
      <c r="EP18" s="90"/>
      <c r="EQ18" s="90"/>
      <c r="ER18" s="90"/>
      <c r="ES18" s="90"/>
      <c r="ET18" s="90"/>
      <c r="EU18" s="90"/>
      <c r="EV18" s="90"/>
      <c r="EW18" s="90"/>
      <c r="EX18" s="90"/>
      <c r="EY18" s="90"/>
      <c r="EZ18" s="90"/>
      <c r="FA18" s="90"/>
      <c r="FB18" s="90"/>
      <c r="FC18" s="90"/>
      <c r="FD18" s="90"/>
      <c r="FE18" s="90"/>
    </row>
    <row r="19" spans="1:161" x14ac:dyDescent="0.3">
      <c r="A19" s="90"/>
      <c r="B19" s="91">
        <v>17</v>
      </c>
      <c r="C19" s="91">
        <v>2079552</v>
      </c>
      <c r="D19" s="90" t="s">
        <v>96</v>
      </c>
      <c r="E19" s="91">
        <v>60</v>
      </c>
      <c r="F19" s="91">
        <v>11</v>
      </c>
      <c r="G19" s="91">
        <v>38</v>
      </c>
      <c r="H19" s="91">
        <v>5</v>
      </c>
      <c r="I19" s="91">
        <v>14580</v>
      </c>
      <c r="J19" s="91">
        <v>4</v>
      </c>
      <c r="K19" s="91">
        <v>26</v>
      </c>
      <c r="L19" s="91">
        <v>6</v>
      </c>
      <c r="M19" s="91">
        <v>2</v>
      </c>
      <c r="N19" s="91">
        <v>2</v>
      </c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  <c r="DL19" s="90"/>
      <c r="DM19" s="90"/>
      <c r="DN19" s="90"/>
      <c r="DO19" s="90"/>
      <c r="DP19" s="90"/>
      <c r="DQ19" s="90"/>
      <c r="DR19" s="90"/>
      <c r="DS19" s="90"/>
      <c r="DT19" s="90"/>
      <c r="DU19" s="90"/>
      <c r="DV19" s="90"/>
      <c r="DW19" s="90"/>
      <c r="DX19" s="90"/>
      <c r="DY19" s="90"/>
      <c r="DZ19" s="90"/>
      <c r="EA19" s="90"/>
      <c r="EB19" s="90"/>
      <c r="EC19" s="90"/>
      <c r="ED19" s="90"/>
      <c r="EE19" s="90"/>
      <c r="EF19" s="90"/>
      <c r="EG19" s="90"/>
      <c r="EH19" s="90"/>
      <c r="EI19" s="90"/>
      <c r="EJ19" s="90"/>
      <c r="EK19" s="90"/>
      <c r="EL19" s="90"/>
      <c r="EM19" s="90"/>
      <c r="EN19" s="90"/>
      <c r="EO19" s="90"/>
      <c r="EP19" s="90"/>
      <c r="EQ19" s="90"/>
      <c r="ER19" s="90"/>
      <c r="ES19" s="90"/>
      <c r="ET19" s="90"/>
      <c r="EU19" s="90"/>
      <c r="EV19" s="90"/>
      <c r="EW19" s="90"/>
      <c r="EX19" s="90"/>
      <c r="EY19" s="90"/>
      <c r="EZ19" s="90"/>
      <c r="FA19" s="90"/>
      <c r="FB19" s="90"/>
      <c r="FC19" s="90"/>
      <c r="FD19" s="90"/>
      <c r="FE19" s="90"/>
    </row>
    <row r="20" spans="1:161" s="62" customFormat="1" x14ac:dyDescent="0.3">
      <c r="A20" s="90"/>
      <c r="B20" s="91">
        <v>18</v>
      </c>
      <c r="C20" s="91">
        <v>1945184</v>
      </c>
      <c r="D20" s="90" t="s">
        <v>97</v>
      </c>
      <c r="E20" s="91">
        <v>41</v>
      </c>
      <c r="F20" s="91">
        <v>9</v>
      </c>
      <c r="G20" s="91">
        <v>39</v>
      </c>
      <c r="H20" s="91">
        <v>1</v>
      </c>
      <c r="I20" s="91">
        <v>13818</v>
      </c>
      <c r="J20" s="91">
        <v>9</v>
      </c>
      <c r="K20" s="91">
        <v>8</v>
      </c>
      <c r="L20" s="91">
        <v>0</v>
      </c>
      <c r="M20" s="91">
        <v>2</v>
      </c>
      <c r="N20" s="91">
        <v>5</v>
      </c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  <c r="CT20" s="90"/>
      <c r="CU20" s="90"/>
      <c r="CV20" s="90"/>
      <c r="CW20" s="90"/>
      <c r="CX20" s="90"/>
      <c r="CY20" s="90"/>
      <c r="CZ20" s="90"/>
      <c r="DA20" s="90"/>
      <c r="DB20" s="90"/>
      <c r="DC20" s="90"/>
      <c r="DD20" s="90"/>
      <c r="DE20" s="90"/>
      <c r="DF20" s="90"/>
      <c r="DG20" s="90"/>
      <c r="DH20" s="90"/>
      <c r="DI20" s="90"/>
      <c r="DJ20" s="90"/>
      <c r="DK20" s="90"/>
      <c r="DL20" s="90"/>
      <c r="DM20" s="90"/>
      <c r="DN20" s="90"/>
      <c r="DO20" s="90"/>
      <c r="DP20" s="90"/>
      <c r="DQ20" s="90"/>
      <c r="DR20" s="90"/>
      <c r="DS20" s="90"/>
      <c r="DT20" s="90"/>
      <c r="DU20" s="90"/>
      <c r="DV20" s="90"/>
      <c r="DW20" s="90"/>
      <c r="DX20" s="90"/>
      <c r="DY20" s="90"/>
      <c r="DZ20" s="90"/>
      <c r="EA20" s="90"/>
      <c r="EB20" s="90"/>
      <c r="EC20" s="90"/>
      <c r="ED20" s="90"/>
      <c r="EE20" s="90"/>
      <c r="EF20" s="90"/>
      <c r="EG20" s="90"/>
      <c r="EH20" s="90"/>
      <c r="EI20" s="90"/>
      <c r="EJ20" s="90"/>
      <c r="EK20" s="90"/>
      <c r="EL20" s="90"/>
      <c r="EM20" s="90"/>
      <c r="EN20" s="90"/>
      <c r="EO20" s="90"/>
      <c r="EP20" s="90"/>
      <c r="EQ20" s="90"/>
      <c r="ER20" s="90"/>
      <c r="ES20" s="90"/>
      <c r="ET20" s="90"/>
      <c r="EU20" s="90"/>
      <c r="EV20" s="90"/>
      <c r="EW20" s="90"/>
      <c r="EX20" s="90"/>
      <c r="EY20" s="90"/>
      <c r="EZ20" s="90"/>
      <c r="FA20" s="90"/>
      <c r="FB20" s="90"/>
      <c r="FC20" s="90"/>
      <c r="FD20" s="90"/>
      <c r="FE20" s="90"/>
    </row>
    <row r="21" spans="1:161" x14ac:dyDescent="0.3">
      <c r="A21" s="90"/>
      <c r="B21" s="91">
        <v>19</v>
      </c>
      <c r="C21" s="91">
        <v>2036269</v>
      </c>
      <c r="D21" s="90" t="s">
        <v>98</v>
      </c>
      <c r="E21" s="91">
        <v>60</v>
      </c>
      <c r="F21" s="91">
        <v>6</v>
      </c>
      <c r="G21" s="91">
        <v>15</v>
      </c>
      <c r="H21" s="91">
        <v>0</v>
      </c>
      <c r="I21" s="91">
        <v>3954</v>
      </c>
      <c r="J21" s="91">
        <v>7</v>
      </c>
      <c r="K21" s="91">
        <v>6</v>
      </c>
      <c r="L21" s="91">
        <v>0</v>
      </c>
      <c r="M21" s="91">
        <v>1</v>
      </c>
      <c r="N21" s="91">
        <v>5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  <c r="CT21" s="90"/>
      <c r="CU21" s="90"/>
      <c r="CV21" s="90"/>
      <c r="CW21" s="90"/>
      <c r="CX21" s="90"/>
      <c r="CY21" s="90"/>
      <c r="CZ21" s="90"/>
      <c r="DA21" s="90"/>
      <c r="DB21" s="90"/>
      <c r="DC21" s="90"/>
      <c r="DD21" s="90"/>
      <c r="DE21" s="90"/>
      <c r="DF21" s="90"/>
      <c r="DG21" s="90"/>
      <c r="DH21" s="90"/>
      <c r="DI21" s="90"/>
      <c r="DJ21" s="90"/>
      <c r="DK21" s="90"/>
      <c r="DL21" s="90"/>
      <c r="DM21" s="90"/>
      <c r="DN21" s="90"/>
      <c r="DO21" s="90"/>
      <c r="DP21" s="90"/>
      <c r="DQ21" s="90"/>
      <c r="DR21" s="90"/>
      <c r="DS21" s="90"/>
      <c r="DT21" s="90"/>
      <c r="DU21" s="90"/>
      <c r="DV21" s="90"/>
      <c r="DW21" s="90"/>
      <c r="DX21" s="90"/>
      <c r="DY21" s="90"/>
      <c r="DZ21" s="90"/>
      <c r="EA21" s="90"/>
      <c r="EB21" s="90"/>
      <c r="EC21" s="90"/>
      <c r="ED21" s="90"/>
      <c r="EE21" s="90"/>
      <c r="EF21" s="90"/>
      <c r="EG21" s="90"/>
      <c r="EH21" s="90"/>
      <c r="EI21" s="90"/>
      <c r="EJ21" s="90"/>
      <c r="EK21" s="90"/>
      <c r="EL21" s="90"/>
      <c r="EM21" s="90"/>
      <c r="EN21" s="90"/>
      <c r="EO21" s="90"/>
      <c r="EP21" s="90"/>
      <c r="EQ21" s="90"/>
      <c r="ER21" s="90"/>
      <c r="ES21" s="90"/>
      <c r="ET21" s="90"/>
      <c r="EU21" s="90"/>
      <c r="EV21" s="90"/>
      <c r="EW21" s="90"/>
      <c r="EX21" s="90"/>
      <c r="EY21" s="90"/>
      <c r="EZ21" s="90"/>
      <c r="FA21" s="90"/>
      <c r="FB21" s="90"/>
      <c r="FC21" s="90"/>
      <c r="FD21" s="90"/>
      <c r="FE21" s="90"/>
    </row>
    <row r="22" spans="1:161" x14ac:dyDescent="0.3">
      <c r="A22" s="90"/>
      <c r="B22" s="91">
        <v>20</v>
      </c>
      <c r="C22" s="91">
        <v>1961036</v>
      </c>
      <c r="D22" s="90" t="s">
        <v>99</v>
      </c>
      <c r="E22" s="91">
        <v>29</v>
      </c>
      <c r="F22" s="91">
        <v>5</v>
      </c>
      <c r="G22" s="91">
        <v>66</v>
      </c>
      <c r="H22" s="91">
        <v>1</v>
      </c>
      <c r="I22" s="91">
        <v>3422</v>
      </c>
      <c r="J22" s="91">
        <v>9</v>
      </c>
      <c r="K22" s="91">
        <v>19</v>
      </c>
      <c r="L22" s="91">
        <v>6</v>
      </c>
      <c r="M22" s="91">
        <v>1</v>
      </c>
      <c r="N22" s="91">
        <v>6</v>
      </c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  <c r="CT22" s="90"/>
      <c r="CU22" s="90"/>
      <c r="CV22" s="90"/>
      <c r="CW22" s="90"/>
      <c r="CX22" s="90"/>
      <c r="CY22" s="90"/>
      <c r="CZ22" s="90"/>
      <c r="DA22" s="90"/>
      <c r="DB22" s="90"/>
      <c r="DC22" s="90"/>
      <c r="DD22" s="90"/>
      <c r="DE22" s="90"/>
      <c r="DF22" s="90"/>
      <c r="DG22" s="90"/>
      <c r="DH22" s="90"/>
      <c r="DI22" s="90"/>
      <c r="DJ22" s="90"/>
      <c r="DK22" s="90"/>
      <c r="DL22" s="90"/>
      <c r="DM22" s="90"/>
      <c r="DN22" s="90"/>
      <c r="DO22" s="90"/>
      <c r="DP22" s="90"/>
      <c r="DQ22" s="90"/>
      <c r="DR22" s="90"/>
      <c r="DS22" s="90"/>
      <c r="DT22" s="90"/>
      <c r="DU22" s="90"/>
      <c r="DV22" s="90"/>
      <c r="DW22" s="90"/>
      <c r="DX22" s="90"/>
      <c r="DY22" s="90"/>
      <c r="DZ22" s="90"/>
      <c r="EA22" s="90"/>
      <c r="EB22" s="90"/>
      <c r="EC22" s="90"/>
      <c r="ED22" s="90"/>
      <c r="EE22" s="90"/>
      <c r="EF22" s="90"/>
      <c r="EG22" s="90"/>
      <c r="EH22" s="90"/>
      <c r="EI22" s="90"/>
      <c r="EJ22" s="90"/>
      <c r="EK22" s="90"/>
      <c r="EL22" s="90"/>
      <c r="EM22" s="90"/>
      <c r="EN22" s="90"/>
      <c r="EO22" s="90"/>
      <c r="EP22" s="90"/>
      <c r="EQ22" s="90"/>
      <c r="ER22" s="90"/>
      <c r="ES22" s="90"/>
      <c r="ET22" s="90"/>
      <c r="EU22" s="90"/>
      <c r="EV22" s="90"/>
      <c r="EW22" s="90"/>
      <c r="EX22" s="90"/>
      <c r="EY22" s="90"/>
      <c r="EZ22" s="90"/>
      <c r="FA22" s="90"/>
      <c r="FB22" s="90"/>
      <c r="FC22" s="90"/>
      <c r="FD22" s="90"/>
      <c r="FE22" s="90"/>
    </row>
    <row r="23" spans="1:161" x14ac:dyDescent="0.3">
      <c r="A23" s="90"/>
      <c r="B23" s="91">
        <v>21</v>
      </c>
      <c r="C23" s="91">
        <v>1964215</v>
      </c>
      <c r="D23" s="90" t="s">
        <v>100</v>
      </c>
      <c r="E23" s="91">
        <v>23</v>
      </c>
      <c r="F23" s="91">
        <v>7</v>
      </c>
      <c r="G23" s="91">
        <v>71</v>
      </c>
      <c r="H23" s="91">
        <v>3</v>
      </c>
      <c r="I23" s="91">
        <v>14986</v>
      </c>
      <c r="J23" s="91">
        <v>4</v>
      </c>
      <c r="K23" s="91">
        <v>5</v>
      </c>
      <c r="L23" s="91">
        <v>2</v>
      </c>
      <c r="M23" s="91">
        <v>2</v>
      </c>
      <c r="N23" s="91">
        <v>7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90"/>
      <c r="DU23" s="90"/>
      <c r="DV23" s="90"/>
      <c r="DW23" s="90"/>
      <c r="DX23" s="90"/>
      <c r="DY23" s="90"/>
      <c r="DZ23" s="90"/>
      <c r="EA23" s="90"/>
      <c r="EB23" s="90"/>
      <c r="EC23" s="90"/>
      <c r="ED23" s="90"/>
      <c r="EE23" s="90"/>
      <c r="EF23" s="90"/>
      <c r="EG23" s="90"/>
      <c r="EH23" s="90"/>
      <c r="EI23" s="90"/>
      <c r="EJ23" s="90"/>
      <c r="EK23" s="90"/>
      <c r="EL23" s="90"/>
      <c r="EM23" s="90"/>
      <c r="EN23" s="90"/>
      <c r="EO23" s="90"/>
      <c r="EP23" s="90"/>
      <c r="EQ23" s="90"/>
      <c r="ER23" s="90"/>
      <c r="ES23" s="90"/>
      <c r="ET23" s="90"/>
      <c r="EU23" s="90"/>
      <c r="EV23" s="90"/>
      <c r="EW23" s="90"/>
      <c r="EX23" s="90"/>
      <c r="EY23" s="90"/>
      <c r="EZ23" s="90"/>
      <c r="FA23" s="90"/>
      <c r="FB23" s="90"/>
      <c r="FC23" s="90"/>
      <c r="FD23" s="90"/>
      <c r="FE23" s="90"/>
    </row>
    <row r="24" spans="1:161" x14ac:dyDescent="0.3">
      <c r="A24" s="90"/>
      <c r="B24" s="91">
        <v>22</v>
      </c>
      <c r="C24" s="91">
        <v>1949587</v>
      </c>
      <c r="D24" s="90" t="s">
        <v>101</v>
      </c>
      <c r="E24" s="91">
        <v>34</v>
      </c>
      <c r="F24" s="91">
        <v>12</v>
      </c>
      <c r="G24" s="91">
        <v>22</v>
      </c>
      <c r="H24" s="91">
        <v>4</v>
      </c>
      <c r="I24" s="91">
        <v>6531</v>
      </c>
      <c r="J24" s="91">
        <v>9</v>
      </c>
      <c r="K24" s="91">
        <v>7</v>
      </c>
      <c r="L24" s="91">
        <v>6</v>
      </c>
      <c r="M24" s="91">
        <v>7</v>
      </c>
      <c r="N24" s="91">
        <v>7</v>
      </c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  <c r="CT24" s="90"/>
      <c r="CU24" s="90"/>
      <c r="CV24" s="90"/>
      <c r="CW24" s="90"/>
      <c r="CX24" s="90"/>
      <c r="CY24" s="90"/>
      <c r="CZ24" s="90"/>
      <c r="DA24" s="90"/>
      <c r="DB24" s="90"/>
      <c r="DC24" s="90"/>
      <c r="DD24" s="90"/>
      <c r="DE24" s="90"/>
      <c r="DF24" s="90"/>
      <c r="DG24" s="90"/>
      <c r="DH24" s="90"/>
      <c r="DI24" s="90"/>
      <c r="DJ24" s="90"/>
      <c r="DK24" s="90"/>
      <c r="DL24" s="90"/>
      <c r="DM24" s="90"/>
      <c r="DN24" s="90"/>
      <c r="DO24" s="90"/>
      <c r="DP24" s="90"/>
      <c r="DQ24" s="90"/>
      <c r="DR24" s="90"/>
      <c r="DS24" s="90"/>
      <c r="DT24" s="90"/>
      <c r="DU24" s="90"/>
      <c r="DV24" s="90"/>
      <c r="DW24" s="90"/>
      <c r="DX24" s="90"/>
      <c r="DY24" s="90"/>
      <c r="DZ24" s="90"/>
      <c r="EA24" s="90"/>
      <c r="EB24" s="90"/>
      <c r="EC24" s="90"/>
      <c r="ED24" s="90"/>
      <c r="EE24" s="90"/>
      <c r="EF24" s="90"/>
      <c r="EG24" s="90"/>
      <c r="EH24" s="90"/>
      <c r="EI24" s="90"/>
      <c r="EJ24" s="90"/>
      <c r="EK24" s="90"/>
      <c r="EL24" s="90"/>
      <c r="EM24" s="90"/>
      <c r="EN24" s="90"/>
      <c r="EO24" s="90"/>
      <c r="EP24" s="90"/>
      <c r="EQ24" s="90"/>
      <c r="ER24" s="90"/>
      <c r="ES24" s="90"/>
      <c r="ET24" s="90"/>
      <c r="EU24" s="90"/>
      <c r="EV24" s="90"/>
      <c r="EW24" s="90"/>
      <c r="EX24" s="90"/>
      <c r="EY24" s="90"/>
      <c r="EZ24" s="90"/>
      <c r="FA24" s="90"/>
      <c r="FB24" s="90"/>
      <c r="FC24" s="90"/>
      <c r="FD24" s="90"/>
      <c r="FE24" s="90"/>
    </row>
    <row r="25" spans="1:161" x14ac:dyDescent="0.3">
      <c r="A25" s="90"/>
      <c r="B25" s="91">
        <v>23</v>
      </c>
      <c r="C25" s="91">
        <v>1951314</v>
      </c>
      <c r="D25" s="90" t="s">
        <v>102</v>
      </c>
      <c r="E25" s="91">
        <v>36</v>
      </c>
      <c r="F25" s="91">
        <v>12</v>
      </c>
      <c r="G25" s="91">
        <v>54</v>
      </c>
      <c r="H25" s="91">
        <v>2</v>
      </c>
      <c r="I25" s="91">
        <v>9576</v>
      </c>
      <c r="J25" s="91">
        <v>8</v>
      </c>
      <c r="K25" s="91">
        <v>29</v>
      </c>
      <c r="L25" s="91">
        <v>3</v>
      </c>
      <c r="M25" s="91">
        <v>7</v>
      </c>
      <c r="N25" s="91">
        <v>2</v>
      </c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90"/>
      <c r="DU25" s="90"/>
      <c r="DV25" s="90"/>
      <c r="DW25" s="90"/>
      <c r="DX25" s="90"/>
      <c r="DY25" s="90"/>
      <c r="DZ25" s="90"/>
      <c r="EA25" s="90"/>
      <c r="EB25" s="90"/>
      <c r="EC25" s="90"/>
      <c r="ED25" s="90"/>
      <c r="EE25" s="90"/>
      <c r="EF25" s="90"/>
      <c r="EG25" s="90"/>
      <c r="EH25" s="90"/>
      <c r="EI25" s="90"/>
      <c r="EJ25" s="90"/>
      <c r="EK25" s="90"/>
      <c r="EL25" s="90"/>
      <c r="EM25" s="90"/>
      <c r="EN25" s="90"/>
      <c r="EO25" s="90"/>
      <c r="EP25" s="90"/>
      <c r="EQ25" s="90"/>
      <c r="ER25" s="90"/>
      <c r="ES25" s="90"/>
      <c r="ET25" s="90"/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</row>
    <row r="26" spans="1:161" x14ac:dyDescent="0.3">
      <c r="A26" s="90"/>
      <c r="B26" s="91">
        <v>24</v>
      </c>
      <c r="C26" s="91">
        <v>1869212</v>
      </c>
      <c r="D26" s="90" t="s">
        <v>103</v>
      </c>
      <c r="E26" s="91">
        <v>27</v>
      </c>
      <c r="F26" s="91">
        <v>11</v>
      </c>
      <c r="G26" s="91">
        <v>27</v>
      </c>
      <c r="H26" s="91">
        <v>5</v>
      </c>
      <c r="I26" s="91">
        <v>9204</v>
      </c>
      <c r="J26" s="91">
        <v>6</v>
      </c>
      <c r="K26" s="91">
        <v>8</v>
      </c>
      <c r="L26" s="91">
        <v>4</v>
      </c>
      <c r="M26" s="91">
        <v>6</v>
      </c>
      <c r="N26" s="91">
        <v>2</v>
      </c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  <c r="CT26" s="90"/>
      <c r="CU26" s="90"/>
      <c r="CV26" s="90"/>
      <c r="CW26" s="90"/>
      <c r="CX26" s="90"/>
      <c r="CY26" s="90"/>
      <c r="CZ26" s="90"/>
      <c r="DA26" s="90"/>
      <c r="DB26" s="90"/>
      <c r="DC26" s="90"/>
      <c r="DD26" s="90"/>
      <c r="DE26" s="90"/>
      <c r="DF26" s="90"/>
      <c r="DG26" s="90"/>
      <c r="DH26" s="90"/>
      <c r="DI26" s="90"/>
      <c r="DJ26" s="90"/>
      <c r="DK26" s="90"/>
      <c r="DL26" s="90"/>
      <c r="DM26" s="90"/>
      <c r="DN26" s="90"/>
      <c r="DO26" s="90"/>
      <c r="DP26" s="90"/>
      <c r="DQ26" s="90"/>
      <c r="DR26" s="90"/>
      <c r="DS26" s="90"/>
      <c r="DT26" s="90"/>
      <c r="DU26" s="90"/>
      <c r="DV26" s="90"/>
      <c r="DW26" s="90"/>
      <c r="DX26" s="90"/>
      <c r="DY26" s="90"/>
      <c r="DZ26" s="90"/>
      <c r="EA26" s="90"/>
      <c r="EB26" s="90"/>
      <c r="EC26" s="90"/>
      <c r="ED26" s="90"/>
      <c r="EE26" s="90"/>
      <c r="EF26" s="90"/>
      <c r="EG26" s="90"/>
      <c r="EH26" s="90"/>
      <c r="EI26" s="90"/>
      <c r="EJ26" s="90"/>
      <c r="EK26" s="90"/>
      <c r="EL26" s="90"/>
      <c r="EM26" s="90"/>
      <c r="EN26" s="90"/>
      <c r="EO26" s="90"/>
      <c r="EP26" s="90"/>
      <c r="EQ26" s="90"/>
      <c r="ER26" s="90"/>
      <c r="ES26" s="90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</row>
    <row r="27" spans="1:161" x14ac:dyDescent="0.3">
      <c r="A27" s="90"/>
      <c r="B27" s="91">
        <v>25</v>
      </c>
      <c r="C27" s="91">
        <v>1859608</v>
      </c>
      <c r="D27" s="90" t="s">
        <v>104</v>
      </c>
      <c r="E27" s="91">
        <v>38</v>
      </c>
      <c r="F27" s="91">
        <v>1</v>
      </c>
      <c r="G27" s="91">
        <v>76</v>
      </c>
      <c r="H27" s="91">
        <v>1</v>
      </c>
      <c r="I27" s="91">
        <v>14235</v>
      </c>
      <c r="J27" s="91">
        <v>10</v>
      </c>
      <c r="K27" s="91">
        <v>14</v>
      </c>
      <c r="L27" s="91">
        <v>2</v>
      </c>
      <c r="M27" s="91">
        <v>3</v>
      </c>
      <c r="N27" s="91">
        <v>6</v>
      </c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  <c r="DL27" s="90"/>
      <c r="DM27" s="90"/>
      <c r="DN27" s="90"/>
      <c r="DO27" s="90"/>
      <c r="DP27" s="90"/>
      <c r="DQ27" s="90"/>
      <c r="DR27" s="90"/>
      <c r="DS27" s="90"/>
      <c r="DT27" s="90"/>
      <c r="DU27" s="90"/>
      <c r="DV27" s="90"/>
      <c r="DW27" s="90"/>
      <c r="DX27" s="90"/>
      <c r="DY27" s="90"/>
      <c r="DZ27" s="90"/>
      <c r="EA27" s="90"/>
      <c r="EB27" s="90"/>
      <c r="EC27" s="90"/>
      <c r="ED27" s="90"/>
      <c r="EE27" s="90"/>
      <c r="EF27" s="90"/>
      <c r="EG27" s="90"/>
      <c r="EH27" s="90"/>
      <c r="EI27" s="90"/>
      <c r="EJ27" s="90"/>
      <c r="EK27" s="90"/>
      <c r="EL27" s="90"/>
      <c r="EM27" s="90"/>
      <c r="EN27" s="90"/>
      <c r="EO27" s="90"/>
      <c r="EP27" s="90"/>
      <c r="EQ27" s="90"/>
      <c r="ER27" s="90"/>
      <c r="ES27" s="90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</row>
    <row r="28" spans="1:161" x14ac:dyDescent="0.3">
      <c r="A28" s="90"/>
      <c r="B28" s="91">
        <v>26</v>
      </c>
      <c r="C28" s="91">
        <v>1982913</v>
      </c>
      <c r="D28" s="90" t="s">
        <v>105</v>
      </c>
      <c r="E28" s="91">
        <v>55</v>
      </c>
      <c r="F28" s="91">
        <v>1</v>
      </c>
      <c r="G28" s="91">
        <v>82</v>
      </c>
      <c r="H28" s="91">
        <v>4</v>
      </c>
      <c r="I28" s="91">
        <v>9171</v>
      </c>
      <c r="J28" s="91">
        <v>0</v>
      </c>
      <c r="K28" s="91">
        <v>7</v>
      </c>
      <c r="L28" s="91">
        <v>5</v>
      </c>
      <c r="M28" s="91">
        <v>7</v>
      </c>
      <c r="N28" s="91">
        <v>5</v>
      </c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90"/>
      <c r="CV28" s="90"/>
      <c r="CW28" s="90"/>
      <c r="CX28" s="90"/>
      <c r="CY28" s="90"/>
      <c r="CZ28" s="90"/>
      <c r="DA28" s="90"/>
      <c r="DB28" s="90"/>
      <c r="DC28" s="90"/>
      <c r="DD28" s="90"/>
      <c r="DE28" s="90"/>
      <c r="DF28" s="90"/>
      <c r="DG28" s="90"/>
      <c r="DH28" s="90"/>
      <c r="DI28" s="90"/>
      <c r="DJ28" s="90"/>
      <c r="DK28" s="90"/>
      <c r="DL28" s="90"/>
      <c r="DM28" s="90"/>
      <c r="DN28" s="90"/>
      <c r="DO28" s="90"/>
      <c r="DP28" s="90"/>
      <c r="DQ28" s="90"/>
      <c r="DR28" s="90"/>
      <c r="DS28" s="90"/>
      <c r="DT28" s="90"/>
      <c r="DU28" s="90"/>
      <c r="DV28" s="90"/>
      <c r="DW28" s="90"/>
      <c r="DX28" s="90"/>
      <c r="DY28" s="90"/>
      <c r="DZ28" s="90"/>
      <c r="EA28" s="90"/>
      <c r="EB28" s="90"/>
      <c r="EC28" s="90"/>
      <c r="ED28" s="90"/>
      <c r="EE28" s="90"/>
      <c r="EF28" s="90"/>
      <c r="EG28" s="90"/>
      <c r="EH28" s="90"/>
      <c r="EI28" s="90"/>
      <c r="EJ28" s="90"/>
      <c r="EK28" s="90"/>
      <c r="EL28" s="90"/>
      <c r="EM28" s="90"/>
      <c r="EN28" s="90"/>
      <c r="EO28" s="90"/>
      <c r="EP28" s="90"/>
      <c r="EQ28" s="90"/>
      <c r="ER28" s="90"/>
      <c r="ES28" s="90"/>
      <c r="ET28" s="90"/>
      <c r="EU28" s="90"/>
      <c r="EV28" s="90"/>
      <c r="EW28" s="90"/>
      <c r="EX28" s="90"/>
      <c r="EY28" s="90"/>
      <c r="EZ28" s="90"/>
      <c r="FA28" s="90"/>
      <c r="FB28" s="90"/>
      <c r="FC28" s="90"/>
      <c r="FD28" s="90"/>
      <c r="FE28" s="90"/>
    </row>
    <row r="29" spans="1:161" x14ac:dyDescent="0.3">
      <c r="A29" s="90"/>
      <c r="B29" s="91">
        <v>27</v>
      </c>
      <c r="C29" s="91">
        <v>1971472</v>
      </c>
      <c r="D29" s="90" t="s">
        <v>106</v>
      </c>
      <c r="E29" s="91">
        <v>41</v>
      </c>
      <c r="F29" s="91">
        <v>7</v>
      </c>
      <c r="G29" s="91">
        <v>105</v>
      </c>
      <c r="H29" s="91">
        <v>5</v>
      </c>
      <c r="I29" s="91">
        <v>6084</v>
      </c>
      <c r="J29" s="91">
        <v>3</v>
      </c>
      <c r="K29" s="91">
        <v>17</v>
      </c>
      <c r="L29" s="91">
        <v>0</v>
      </c>
      <c r="M29" s="91">
        <v>5</v>
      </c>
      <c r="N29" s="91">
        <v>7</v>
      </c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90"/>
      <c r="CT29" s="90"/>
      <c r="CU29" s="90"/>
      <c r="CV29" s="90"/>
      <c r="CW29" s="90"/>
      <c r="CX29" s="90"/>
      <c r="CY29" s="90"/>
      <c r="CZ29" s="90"/>
      <c r="DA29" s="90"/>
      <c r="DB29" s="90"/>
      <c r="DC29" s="90"/>
      <c r="DD29" s="90"/>
      <c r="DE29" s="90"/>
      <c r="DF29" s="90"/>
      <c r="DG29" s="90"/>
      <c r="DH29" s="90"/>
      <c r="DI29" s="90"/>
      <c r="DJ29" s="90"/>
      <c r="DK29" s="90"/>
      <c r="DL29" s="90"/>
      <c r="DM29" s="90"/>
      <c r="DN29" s="90"/>
      <c r="DO29" s="90"/>
      <c r="DP29" s="90"/>
      <c r="DQ29" s="90"/>
      <c r="DR29" s="90"/>
      <c r="DS29" s="90"/>
      <c r="DT29" s="90"/>
      <c r="DU29" s="90"/>
      <c r="DV29" s="90"/>
      <c r="DW29" s="90"/>
      <c r="DX29" s="90"/>
      <c r="DY29" s="90"/>
      <c r="DZ29" s="90"/>
      <c r="EA29" s="90"/>
      <c r="EB29" s="90"/>
      <c r="EC29" s="90"/>
      <c r="ED29" s="90"/>
      <c r="EE29" s="90"/>
      <c r="EF29" s="90"/>
      <c r="EG29" s="90"/>
      <c r="EH29" s="90"/>
      <c r="EI29" s="90"/>
      <c r="EJ29" s="90"/>
      <c r="EK29" s="90"/>
      <c r="EL29" s="90"/>
      <c r="EM29" s="90"/>
      <c r="EN29" s="90"/>
      <c r="EO29" s="90"/>
      <c r="EP29" s="90"/>
      <c r="EQ29" s="90"/>
      <c r="ER29" s="90"/>
      <c r="ES29" s="90"/>
      <c r="ET29" s="90"/>
      <c r="EU29" s="90"/>
      <c r="EV29" s="90"/>
      <c r="EW29" s="90"/>
      <c r="EX29" s="90"/>
      <c r="EY29" s="90"/>
      <c r="EZ29" s="90"/>
      <c r="FA29" s="90"/>
      <c r="FB29" s="90"/>
      <c r="FC29" s="90"/>
      <c r="FD29" s="90"/>
      <c r="FE29" s="90"/>
    </row>
    <row r="30" spans="1:161" x14ac:dyDescent="0.3">
      <c r="A30" s="90"/>
      <c r="B30" s="91">
        <v>28</v>
      </c>
      <c r="C30" s="91">
        <v>1946648</v>
      </c>
      <c r="D30" s="90" t="s">
        <v>107</v>
      </c>
      <c r="E30" s="91">
        <v>42</v>
      </c>
      <c r="F30" s="91">
        <v>4</v>
      </c>
      <c r="G30" s="91">
        <v>107</v>
      </c>
      <c r="H30" s="91">
        <v>4</v>
      </c>
      <c r="I30" s="91">
        <v>8143</v>
      </c>
      <c r="J30" s="91">
        <v>6</v>
      </c>
      <c r="K30" s="91">
        <v>29</v>
      </c>
      <c r="L30" s="91">
        <v>1</v>
      </c>
      <c r="M30" s="91">
        <v>2</v>
      </c>
      <c r="N30" s="91">
        <v>2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90"/>
      <c r="CO30" s="90"/>
      <c r="CP30" s="90"/>
      <c r="CQ30" s="90"/>
      <c r="CR30" s="90"/>
      <c r="CS30" s="90"/>
      <c r="CT30" s="90"/>
      <c r="CU30" s="90"/>
      <c r="CV30" s="90"/>
      <c r="CW30" s="90"/>
      <c r="CX30" s="90"/>
      <c r="CY30" s="90"/>
      <c r="CZ30" s="90"/>
      <c r="DA30" s="90"/>
      <c r="DB30" s="90"/>
      <c r="DC30" s="90"/>
      <c r="DD30" s="90"/>
      <c r="DE30" s="90"/>
      <c r="DF30" s="90"/>
      <c r="DG30" s="90"/>
      <c r="DH30" s="90"/>
      <c r="DI30" s="90"/>
      <c r="DJ30" s="90"/>
      <c r="DK30" s="90"/>
      <c r="DL30" s="90"/>
      <c r="DM30" s="90"/>
      <c r="DN30" s="90"/>
      <c r="DO30" s="90"/>
      <c r="DP30" s="90"/>
      <c r="DQ30" s="90"/>
      <c r="DR30" s="90"/>
      <c r="DS30" s="90"/>
      <c r="DT30" s="90"/>
      <c r="DU30" s="90"/>
      <c r="DV30" s="90"/>
      <c r="DW30" s="90"/>
      <c r="DX30" s="90"/>
      <c r="DY30" s="90"/>
      <c r="DZ30" s="90"/>
      <c r="EA30" s="90"/>
      <c r="EB30" s="90"/>
      <c r="EC30" s="90"/>
      <c r="ED30" s="90"/>
      <c r="EE30" s="90"/>
      <c r="EF30" s="90"/>
      <c r="EG30" s="90"/>
      <c r="EH30" s="90"/>
      <c r="EI30" s="90"/>
      <c r="EJ30" s="90"/>
      <c r="EK30" s="90"/>
      <c r="EL30" s="90"/>
      <c r="EM30" s="90"/>
      <c r="EN30" s="90"/>
      <c r="EO30" s="90"/>
      <c r="EP30" s="90"/>
      <c r="EQ30" s="90"/>
      <c r="ER30" s="90"/>
      <c r="ES30" s="90"/>
      <c r="ET30" s="90"/>
      <c r="EU30" s="90"/>
      <c r="EV30" s="90"/>
      <c r="EW30" s="90"/>
      <c r="EX30" s="90"/>
      <c r="EY30" s="90"/>
      <c r="EZ30" s="90"/>
      <c r="FA30" s="90"/>
      <c r="FB30" s="90"/>
      <c r="FC30" s="90"/>
      <c r="FD30" s="90"/>
      <c r="FE30" s="90"/>
    </row>
    <row r="31" spans="1:161" x14ac:dyDescent="0.3">
      <c r="A31" s="90"/>
      <c r="B31" s="91">
        <v>29</v>
      </c>
      <c r="C31" s="91">
        <v>1945777</v>
      </c>
      <c r="D31" s="90" t="s">
        <v>108</v>
      </c>
      <c r="E31" s="91">
        <v>37</v>
      </c>
      <c r="F31" s="91">
        <v>10</v>
      </c>
      <c r="G31" s="91">
        <v>84</v>
      </c>
      <c r="H31" s="91">
        <v>5</v>
      </c>
      <c r="I31" s="91">
        <v>6268</v>
      </c>
      <c r="J31" s="91">
        <v>3</v>
      </c>
      <c r="K31" s="91">
        <v>30</v>
      </c>
      <c r="L31" s="91">
        <v>2</v>
      </c>
      <c r="M31" s="91">
        <v>6</v>
      </c>
      <c r="N31" s="91">
        <v>2</v>
      </c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90"/>
      <c r="CO31" s="90"/>
      <c r="CP31" s="90"/>
      <c r="CQ31" s="90"/>
      <c r="CR31" s="90"/>
      <c r="CS31" s="90"/>
      <c r="CT31" s="90"/>
      <c r="CU31" s="90"/>
      <c r="CV31" s="90"/>
      <c r="CW31" s="90"/>
      <c r="CX31" s="90"/>
      <c r="CY31" s="90"/>
      <c r="CZ31" s="90"/>
      <c r="DA31" s="90"/>
      <c r="DB31" s="90"/>
      <c r="DC31" s="90"/>
      <c r="DD31" s="90"/>
      <c r="DE31" s="90"/>
      <c r="DF31" s="90"/>
      <c r="DG31" s="90"/>
      <c r="DH31" s="90"/>
      <c r="DI31" s="90"/>
      <c r="DJ31" s="90"/>
      <c r="DK31" s="90"/>
      <c r="DL31" s="90"/>
      <c r="DM31" s="90"/>
      <c r="DN31" s="90"/>
      <c r="DO31" s="90"/>
      <c r="DP31" s="90"/>
      <c r="DQ31" s="90"/>
      <c r="DR31" s="90"/>
      <c r="DS31" s="90"/>
      <c r="DT31" s="90"/>
      <c r="DU31" s="90"/>
      <c r="DV31" s="90"/>
      <c r="DW31" s="90"/>
      <c r="DX31" s="90"/>
      <c r="DY31" s="90"/>
      <c r="DZ31" s="90"/>
      <c r="EA31" s="90"/>
      <c r="EB31" s="90"/>
      <c r="EC31" s="90"/>
      <c r="ED31" s="90"/>
      <c r="EE31" s="90"/>
      <c r="EF31" s="90"/>
      <c r="EG31" s="90"/>
      <c r="EH31" s="90"/>
      <c r="EI31" s="90"/>
      <c r="EJ31" s="90"/>
      <c r="EK31" s="90"/>
      <c r="EL31" s="90"/>
      <c r="EM31" s="90"/>
      <c r="EN31" s="90"/>
      <c r="EO31" s="90"/>
      <c r="EP31" s="90"/>
      <c r="EQ31" s="90"/>
      <c r="ER31" s="90"/>
      <c r="ES31" s="90"/>
      <c r="ET31" s="90"/>
      <c r="EU31" s="90"/>
      <c r="EV31" s="90"/>
      <c r="EW31" s="90"/>
      <c r="EX31" s="90"/>
      <c r="EY31" s="90"/>
      <c r="EZ31" s="90"/>
      <c r="FA31" s="90"/>
      <c r="FB31" s="90"/>
      <c r="FC31" s="90"/>
      <c r="FD31" s="90"/>
      <c r="FE31" s="90"/>
    </row>
    <row r="32" spans="1:161" s="62" customFormat="1" x14ac:dyDescent="0.3">
      <c r="A32" s="90"/>
      <c r="B32" s="91">
        <v>30</v>
      </c>
      <c r="C32" s="91">
        <v>1840214</v>
      </c>
      <c r="D32" s="90" t="s">
        <v>109</v>
      </c>
      <c r="E32" s="91">
        <v>53</v>
      </c>
      <c r="F32" s="91">
        <v>7</v>
      </c>
      <c r="G32" s="91">
        <v>6</v>
      </c>
      <c r="H32" s="91">
        <v>1</v>
      </c>
      <c r="I32" s="91">
        <v>3267</v>
      </c>
      <c r="J32" s="91">
        <v>9</v>
      </c>
      <c r="K32" s="91">
        <v>23</v>
      </c>
      <c r="L32" s="91">
        <v>6</v>
      </c>
      <c r="M32" s="91">
        <v>5</v>
      </c>
      <c r="N32" s="91">
        <v>2</v>
      </c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90"/>
      <c r="CT32" s="90"/>
      <c r="CU32" s="90"/>
      <c r="CV32" s="90"/>
      <c r="CW32" s="90"/>
      <c r="CX32" s="90"/>
      <c r="CY32" s="90"/>
      <c r="CZ32" s="90"/>
      <c r="DA32" s="90"/>
      <c r="DB32" s="90"/>
      <c r="DC32" s="90"/>
      <c r="DD32" s="90"/>
      <c r="DE32" s="90"/>
      <c r="DF32" s="90"/>
      <c r="DG32" s="90"/>
      <c r="DH32" s="90"/>
      <c r="DI32" s="90"/>
      <c r="DJ32" s="90"/>
      <c r="DK32" s="90"/>
      <c r="DL32" s="90"/>
      <c r="DM32" s="90"/>
      <c r="DN32" s="90"/>
      <c r="DO32" s="90"/>
      <c r="DP32" s="90"/>
      <c r="DQ32" s="90"/>
      <c r="DR32" s="90"/>
      <c r="DS32" s="90"/>
      <c r="DT32" s="90"/>
      <c r="DU32" s="90"/>
      <c r="DV32" s="90"/>
      <c r="DW32" s="90"/>
      <c r="DX32" s="90"/>
      <c r="DY32" s="90"/>
      <c r="DZ32" s="90"/>
      <c r="EA32" s="90"/>
      <c r="EB32" s="90"/>
      <c r="EC32" s="90"/>
      <c r="ED32" s="90"/>
      <c r="EE32" s="90"/>
      <c r="EF32" s="90"/>
      <c r="EG32" s="90"/>
      <c r="EH32" s="90"/>
      <c r="EI32" s="90"/>
      <c r="EJ32" s="90"/>
      <c r="EK32" s="90"/>
      <c r="EL32" s="90"/>
      <c r="EM32" s="90"/>
      <c r="EN32" s="90"/>
      <c r="EO32" s="90"/>
      <c r="EP32" s="90"/>
      <c r="EQ32" s="90"/>
      <c r="ER32" s="90"/>
      <c r="ES32" s="90"/>
      <c r="ET32" s="90"/>
      <c r="EU32" s="90"/>
      <c r="EV32" s="90"/>
      <c r="EW32" s="90"/>
      <c r="EX32" s="90"/>
      <c r="EY32" s="90"/>
      <c r="EZ32" s="90"/>
      <c r="FA32" s="90"/>
      <c r="FB32" s="90"/>
      <c r="FC32" s="90"/>
      <c r="FD32" s="90"/>
      <c r="FE32" s="90"/>
    </row>
    <row r="33" spans="1:161" x14ac:dyDescent="0.3">
      <c r="A33" s="90"/>
      <c r="B33" s="91">
        <v>31</v>
      </c>
      <c r="C33" s="91">
        <v>1961925</v>
      </c>
      <c r="D33" s="90" t="s">
        <v>110</v>
      </c>
      <c r="E33" s="91">
        <v>54</v>
      </c>
      <c r="F33" s="91">
        <v>2</v>
      </c>
      <c r="G33" s="91">
        <v>100</v>
      </c>
      <c r="H33" s="91">
        <v>0</v>
      </c>
      <c r="I33" s="91">
        <v>6537</v>
      </c>
      <c r="J33" s="91">
        <v>6</v>
      </c>
      <c r="K33" s="91">
        <v>13</v>
      </c>
      <c r="L33" s="91">
        <v>5</v>
      </c>
      <c r="M33" s="91">
        <v>3</v>
      </c>
      <c r="N33" s="91">
        <v>4</v>
      </c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  <c r="CN33" s="90"/>
      <c r="CO33" s="90"/>
      <c r="CP33" s="90"/>
      <c r="CQ33" s="90"/>
      <c r="CR33" s="90"/>
      <c r="CS33" s="90"/>
      <c r="CT33" s="90"/>
      <c r="CU33" s="90"/>
      <c r="CV33" s="90"/>
      <c r="CW33" s="90"/>
      <c r="CX33" s="90"/>
      <c r="CY33" s="90"/>
      <c r="CZ33" s="90"/>
      <c r="DA33" s="90"/>
      <c r="DB33" s="90"/>
      <c r="DC33" s="90"/>
      <c r="DD33" s="90"/>
      <c r="DE33" s="90"/>
      <c r="DF33" s="90"/>
      <c r="DG33" s="90"/>
      <c r="DH33" s="90"/>
      <c r="DI33" s="90"/>
      <c r="DJ33" s="90"/>
      <c r="DK33" s="90"/>
      <c r="DL33" s="90"/>
      <c r="DM33" s="90"/>
      <c r="DN33" s="90"/>
      <c r="DO33" s="90"/>
      <c r="DP33" s="90"/>
      <c r="DQ33" s="90"/>
      <c r="DR33" s="90"/>
      <c r="DS33" s="90"/>
      <c r="DT33" s="90"/>
      <c r="DU33" s="90"/>
      <c r="DV33" s="90"/>
      <c r="DW33" s="90"/>
      <c r="DX33" s="90"/>
      <c r="DY33" s="90"/>
      <c r="DZ33" s="90"/>
      <c r="EA33" s="90"/>
      <c r="EB33" s="90"/>
      <c r="EC33" s="90"/>
      <c r="ED33" s="90"/>
      <c r="EE33" s="90"/>
      <c r="EF33" s="90"/>
      <c r="EG33" s="90"/>
      <c r="EH33" s="90"/>
      <c r="EI33" s="90"/>
      <c r="EJ33" s="90"/>
      <c r="EK33" s="90"/>
      <c r="EL33" s="90"/>
      <c r="EM33" s="90"/>
      <c r="EN33" s="90"/>
      <c r="EO33" s="90"/>
      <c r="EP33" s="90"/>
      <c r="EQ33" s="90"/>
      <c r="ER33" s="90"/>
      <c r="ES33" s="90"/>
      <c r="ET33" s="90"/>
      <c r="EU33" s="90"/>
      <c r="EV33" s="90"/>
      <c r="EW33" s="90"/>
      <c r="EX33" s="90"/>
      <c r="EY33" s="90"/>
      <c r="EZ33" s="90"/>
      <c r="FA33" s="90"/>
      <c r="FB33" s="90"/>
      <c r="FC33" s="90"/>
      <c r="FD33" s="90"/>
      <c r="FE33" s="90"/>
    </row>
    <row r="34" spans="1:161" x14ac:dyDescent="0.3">
      <c r="A34" s="90"/>
      <c r="B34" s="91">
        <v>32</v>
      </c>
      <c r="C34" s="91">
        <v>1731232</v>
      </c>
      <c r="D34" s="90" t="s">
        <v>111</v>
      </c>
      <c r="E34" s="91">
        <v>28</v>
      </c>
      <c r="F34" s="91">
        <v>7</v>
      </c>
      <c r="G34" s="91">
        <v>13</v>
      </c>
      <c r="H34" s="91">
        <v>4</v>
      </c>
      <c r="I34" s="91">
        <v>11412</v>
      </c>
      <c r="J34" s="91">
        <v>1</v>
      </c>
      <c r="K34" s="91">
        <v>16</v>
      </c>
      <c r="L34" s="91">
        <v>5</v>
      </c>
      <c r="M34" s="91">
        <v>4</v>
      </c>
      <c r="N34" s="91">
        <v>3</v>
      </c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90"/>
      <c r="CT34" s="90"/>
      <c r="CU34" s="90"/>
      <c r="CV34" s="90"/>
      <c r="CW34" s="90"/>
      <c r="CX34" s="90"/>
      <c r="CY34" s="90"/>
      <c r="CZ34" s="90"/>
      <c r="DA34" s="90"/>
      <c r="DB34" s="90"/>
      <c r="DC34" s="90"/>
      <c r="DD34" s="90"/>
      <c r="DE34" s="90"/>
      <c r="DF34" s="90"/>
      <c r="DG34" s="90"/>
      <c r="DH34" s="90"/>
      <c r="DI34" s="90"/>
      <c r="DJ34" s="90"/>
      <c r="DK34" s="90"/>
      <c r="DL34" s="90"/>
      <c r="DM34" s="90"/>
      <c r="DN34" s="90"/>
      <c r="DO34" s="90"/>
      <c r="DP34" s="90"/>
      <c r="DQ34" s="90"/>
      <c r="DR34" s="90"/>
      <c r="DS34" s="90"/>
      <c r="DT34" s="90"/>
      <c r="DU34" s="90"/>
      <c r="DV34" s="90"/>
      <c r="DW34" s="90"/>
      <c r="DX34" s="90"/>
      <c r="DY34" s="90"/>
      <c r="DZ34" s="90"/>
      <c r="EA34" s="90"/>
      <c r="EB34" s="90"/>
      <c r="EC34" s="90"/>
      <c r="ED34" s="90"/>
      <c r="EE34" s="90"/>
      <c r="EF34" s="90"/>
      <c r="EG34" s="90"/>
      <c r="EH34" s="90"/>
      <c r="EI34" s="90"/>
      <c r="EJ34" s="90"/>
      <c r="EK34" s="90"/>
      <c r="EL34" s="90"/>
      <c r="EM34" s="90"/>
      <c r="EN34" s="90"/>
      <c r="EO34" s="90"/>
      <c r="EP34" s="90"/>
      <c r="EQ34" s="90"/>
      <c r="ER34" s="90"/>
      <c r="ES34" s="90"/>
      <c r="ET34" s="90"/>
      <c r="EU34" s="90"/>
      <c r="EV34" s="90"/>
      <c r="EW34" s="90"/>
      <c r="EX34" s="90"/>
      <c r="EY34" s="90"/>
      <c r="EZ34" s="90"/>
      <c r="FA34" s="90"/>
      <c r="FB34" s="90"/>
      <c r="FC34" s="90"/>
      <c r="FD34" s="90"/>
      <c r="FE34" s="90"/>
    </row>
    <row r="35" spans="1:161" x14ac:dyDescent="0.3">
      <c r="A35" s="90"/>
      <c r="B35" s="91">
        <v>33</v>
      </c>
      <c r="C35" s="91">
        <v>1591414</v>
      </c>
      <c r="D35" s="90" t="s">
        <v>112</v>
      </c>
      <c r="E35" s="91">
        <v>39</v>
      </c>
      <c r="F35" s="91">
        <v>1</v>
      </c>
      <c r="G35" s="91">
        <v>5</v>
      </c>
      <c r="H35" s="91">
        <v>1</v>
      </c>
      <c r="I35" s="91">
        <v>10815</v>
      </c>
      <c r="J35" s="91">
        <v>8</v>
      </c>
      <c r="K35" s="91">
        <v>23</v>
      </c>
      <c r="L35" s="91">
        <v>7</v>
      </c>
      <c r="M35" s="91">
        <v>7</v>
      </c>
      <c r="N35" s="91">
        <v>1</v>
      </c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  <c r="DL35" s="90"/>
      <c r="DM35" s="90"/>
      <c r="DN35" s="90"/>
      <c r="DO35" s="90"/>
      <c r="DP35" s="90"/>
      <c r="DQ35" s="90"/>
      <c r="DR35" s="90"/>
      <c r="DS35" s="90"/>
      <c r="DT35" s="90"/>
      <c r="DU35" s="90"/>
      <c r="DV35" s="90"/>
      <c r="DW35" s="90"/>
      <c r="DX35" s="90"/>
      <c r="DY35" s="90"/>
      <c r="DZ35" s="90"/>
      <c r="EA35" s="90"/>
      <c r="EB35" s="90"/>
      <c r="EC35" s="90"/>
      <c r="ED35" s="90"/>
      <c r="EE35" s="90"/>
      <c r="EF35" s="90"/>
      <c r="EG35" s="90"/>
      <c r="EH35" s="90"/>
      <c r="EI35" s="90"/>
      <c r="EJ35" s="90"/>
      <c r="EK35" s="90"/>
      <c r="EL35" s="90"/>
      <c r="EM35" s="90"/>
      <c r="EN35" s="90"/>
      <c r="EO35" s="90"/>
      <c r="EP35" s="90"/>
      <c r="EQ35" s="90"/>
      <c r="ER35" s="90"/>
      <c r="ES35" s="90"/>
      <c r="ET35" s="90"/>
      <c r="EU35" s="90"/>
      <c r="EV35" s="90"/>
      <c r="EW35" s="90"/>
      <c r="EX35" s="90"/>
      <c r="EY35" s="90"/>
      <c r="EZ35" s="90"/>
      <c r="FA35" s="90"/>
      <c r="FB35" s="90"/>
      <c r="FC35" s="90"/>
      <c r="FD35" s="90"/>
      <c r="FE35" s="90"/>
    </row>
    <row r="36" spans="1:161" x14ac:dyDescent="0.3">
      <c r="A36" s="90"/>
      <c r="B36" s="91">
        <v>34</v>
      </c>
      <c r="C36" s="91">
        <v>1959441</v>
      </c>
      <c r="D36" s="90" t="s">
        <v>113</v>
      </c>
      <c r="E36" s="91">
        <v>60</v>
      </c>
      <c r="F36" s="91">
        <v>9</v>
      </c>
      <c r="G36" s="91">
        <v>131</v>
      </c>
      <c r="H36" s="91">
        <v>3</v>
      </c>
      <c r="I36" s="91">
        <v>10060</v>
      </c>
      <c r="J36" s="91">
        <v>9</v>
      </c>
      <c r="K36" s="91">
        <v>0</v>
      </c>
      <c r="L36" s="91">
        <v>1</v>
      </c>
      <c r="M36" s="91">
        <v>1</v>
      </c>
      <c r="N36" s="91">
        <v>4</v>
      </c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  <c r="CU36" s="90"/>
      <c r="CV36" s="90"/>
      <c r="CW36" s="90"/>
      <c r="CX36" s="90"/>
      <c r="CY36" s="90"/>
      <c r="CZ36" s="90"/>
      <c r="DA36" s="90"/>
      <c r="DB36" s="90"/>
      <c r="DC36" s="90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/>
      <c r="DP36" s="90"/>
      <c r="DQ36" s="90"/>
      <c r="DR36" s="90"/>
      <c r="DS36" s="90"/>
      <c r="DT36" s="90"/>
      <c r="DU36" s="90"/>
      <c r="DV36" s="90"/>
      <c r="DW36" s="90"/>
      <c r="DX36" s="90"/>
      <c r="DY36" s="90"/>
      <c r="DZ36" s="90"/>
      <c r="EA36" s="90"/>
      <c r="EB36" s="90"/>
      <c r="EC36" s="90"/>
      <c r="ED36" s="90"/>
      <c r="EE36" s="90"/>
      <c r="EF36" s="90"/>
      <c r="EG36" s="90"/>
      <c r="EH36" s="90"/>
      <c r="EI36" s="90"/>
      <c r="EJ36" s="90"/>
      <c r="EK36" s="90"/>
      <c r="EL36" s="90"/>
      <c r="EM36" s="90"/>
      <c r="EN36" s="90"/>
      <c r="EO36" s="90"/>
      <c r="EP36" s="90"/>
      <c r="EQ36" s="90"/>
      <c r="ER36" s="90"/>
      <c r="ES36" s="90"/>
      <c r="ET36" s="90"/>
      <c r="EU36" s="90"/>
      <c r="EV36" s="90"/>
      <c r="EW36" s="90"/>
      <c r="EX36" s="90"/>
      <c r="EY36" s="90"/>
      <c r="EZ36" s="90"/>
      <c r="FA36" s="90"/>
      <c r="FB36" s="90"/>
      <c r="FC36" s="90"/>
      <c r="FD36" s="90"/>
      <c r="FE36" s="90"/>
    </row>
    <row r="37" spans="1:161" x14ac:dyDescent="0.3">
      <c r="A37" s="90"/>
      <c r="B37" s="91">
        <v>35</v>
      </c>
      <c r="C37" s="91">
        <v>1960798</v>
      </c>
      <c r="D37" s="90" t="s">
        <v>114</v>
      </c>
      <c r="E37" s="91">
        <v>30</v>
      </c>
      <c r="F37" s="91">
        <v>3</v>
      </c>
      <c r="G37" s="91">
        <v>100</v>
      </c>
      <c r="H37" s="91">
        <v>5</v>
      </c>
      <c r="I37" s="91">
        <v>4299</v>
      </c>
      <c r="J37" s="91">
        <v>4</v>
      </c>
      <c r="K37" s="91">
        <v>2</v>
      </c>
      <c r="L37" s="91">
        <v>1</v>
      </c>
      <c r="M37" s="91">
        <v>1</v>
      </c>
      <c r="N37" s="91">
        <v>6</v>
      </c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90"/>
      <c r="DI37" s="90"/>
      <c r="DJ37" s="90"/>
      <c r="DK37" s="90"/>
      <c r="DL37" s="90"/>
      <c r="DM37" s="90"/>
      <c r="DN37" s="90"/>
      <c r="DO37" s="90"/>
      <c r="DP37" s="90"/>
      <c r="DQ37" s="90"/>
      <c r="DR37" s="90"/>
      <c r="DS37" s="90"/>
      <c r="DT37" s="90"/>
      <c r="DU37" s="90"/>
      <c r="DV37" s="90"/>
      <c r="DW37" s="90"/>
      <c r="DX37" s="90"/>
      <c r="DY37" s="90"/>
      <c r="DZ37" s="90"/>
      <c r="EA37" s="90"/>
      <c r="EB37" s="90"/>
      <c r="EC37" s="90"/>
      <c r="ED37" s="90"/>
      <c r="EE37" s="90"/>
      <c r="EF37" s="90"/>
      <c r="EG37" s="90"/>
      <c r="EH37" s="90"/>
      <c r="EI37" s="90"/>
      <c r="EJ37" s="90"/>
      <c r="EK37" s="90"/>
      <c r="EL37" s="90"/>
      <c r="EM37" s="90"/>
      <c r="EN37" s="90"/>
      <c r="EO37" s="90"/>
      <c r="EP37" s="90"/>
      <c r="EQ37" s="90"/>
      <c r="ER37" s="90"/>
      <c r="ES37" s="90"/>
      <c r="ET37" s="90"/>
      <c r="EU37" s="90"/>
      <c r="EV37" s="90"/>
      <c r="EW37" s="90"/>
      <c r="EX37" s="90"/>
      <c r="EY37" s="90"/>
      <c r="EZ37" s="90"/>
      <c r="FA37" s="90"/>
      <c r="FB37" s="90"/>
      <c r="FC37" s="90"/>
      <c r="FD37" s="90"/>
      <c r="FE37" s="90"/>
    </row>
    <row r="38" spans="1:161" x14ac:dyDescent="0.3">
      <c r="A38" s="90"/>
      <c r="B38" s="91">
        <v>36</v>
      </c>
      <c r="C38" s="91">
        <v>1955747</v>
      </c>
      <c r="D38" s="90" t="s">
        <v>115</v>
      </c>
      <c r="E38" s="91">
        <v>59</v>
      </c>
      <c r="F38" s="91">
        <v>11</v>
      </c>
      <c r="G38" s="91">
        <v>143</v>
      </c>
      <c r="H38" s="91">
        <v>1</v>
      </c>
      <c r="I38" s="91">
        <v>13324</v>
      </c>
      <c r="J38" s="91">
        <v>5</v>
      </c>
      <c r="K38" s="91">
        <v>20</v>
      </c>
      <c r="L38" s="91">
        <v>4</v>
      </c>
      <c r="M38" s="91">
        <v>3</v>
      </c>
      <c r="N38" s="91">
        <v>5</v>
      </c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90"/>
      <c r="CV38" s="90"/>
      <c r="CW38" s="90"/>
      <c r="CX38" s="90"/>
      <c r="CY38" s="90"/>
      <c r="CZ38" s="90"/>
      <c r="DA38" s="90"/>
      <c r="DB38" s="90"/>
      <c r="DC38" s="90"/>
      <c r="DD38" s="90"/>
      <c r="DE38" s="90"/>
      <c r="DF38" s="90"/>
      <c r="DG38" s="90"/>
      <c r="DH38" s="90"/>
      <c r="DI38" s="90"/>
      <c r="DJ38" s="90"/>
      <c r="DK38" s="90"/>
      <c r="DL38" s="90"/>
      <c r="DM38" s="90"/>
      <c r="DN38" s="90"/>
      <c r="DO38" s="90"/>
      <c r="DP38" s="90"/>
      <c r="DQ38" s="90"/>
      <c r="DR38" s="90"/>
      <c r="DS38" s="90"/>
      <c r="DT38" s="90"/>
      <c r="DU38" s="90"/>
      <c r="DV38" s="90"/>
      <c r="DW38" s="90"/>
      <c r="DX38" s="90"/>
      <c r="DY38" s="90"/>
      <c r="DZ38" s="90"/>
      <c r="EA38" s="90"/>
      <c r="EB38" s="90"/>
      <c r="EC38" s="90"/>
      <c r="ED38" s="90"/>
      <c r="EE38" s="90"/>
      <c r="EF38" s="90"/>
      <c r="EG38" s="90"/>
      <c r="EH38" s="90"/>
      <c r="EI38" s="90"/>
      <c r="EJ38" s="90"/>
      <c r="EK38" s="90"/>
      <c r="EL38" s="90"/>
      <c r="EM38" s="90"/>
      <c r="EN38" s="90"/>
      <c r="EO38" s="90"/>
      <c r="EP38" s="90"/>
      <c r="EQ38" s="90"/>
      <c r="ER38" s="90"/>
      <c r="ES38" s="90"/>
      <c r="ET38" s="90"/>
      <c r="EU38" s="90"/>
      <c r="EV38" s="90"/>
      <c r="EW38" s="90"/>
      <c r="EX38" s="90"/>
      <c r="EY38" s="90"/>
      <c r="EZ38" s="90"/>
      <c r="FA38" s="90"/>
      <c r="FB38" s="90"/>
      <c r="FC38" s="90"/>
      <c r="FD38" s="90"/>
      <c r="FE38" s="90"/>
    </row>
    <row r="39" spans="1:161" x14ac:dyDescent="0.3">
      <c r="A39" s="90"/>
      <c r="B39" s="91">
        <v>37</v>
      </c>
      <c r="C39" s="91">
        <v>1951847</v>
      </c>
      <c r="D39" s="90" t="s">
        <v>116</v>
      </c>
      <c r="E39" s="91">
        <v>27</v>
      </c>
      <c r="F39" s="91">
        <v>5</v>
      </c>
      <c r="G39" s="91">
        <v>52</v>
      </c>
      <c r="H39" s="91">
        <v>0</v>
      </c>
      <c r="I39" s="91">
        <v>3561</v>
      </c>
      <c r="J39" s="91">
        <v>3</v>
      </c>
      <c r="K39" s="91">
        <v>29</v>
      </c>
      <c r="L39" s="91">
        <v>1</v>
      </c>
      <c r="M39" s="91">
        <v>4</v>
      </c>
      <c r="N39" s="91">
        <v>6</v>
      </c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0"/>
      <c r="CX39" s="90"/>
      <c r="CY39" s="90"/>
      <c r="CZ39" s="90"/>
      <c r="DA39" s="90"/>
      <c r="DB39" s="90"/>
      <c r="DC39" s="90"/>
      <c r="DD39" s="90"/>
      <c r="DE39" s="90"/>
      <c r="DF39" s="90"/>
      <c r="DG39" s="90"/>
      <c r="DH39" s="90"/>
      <c r="DI39" s="90"/>
      <c r="DJ39" s="90"/>
      <c r="DK39" s="90"/>
      <c r="DL39" s="90"/>
      <c r="DM39" s="90"/>
      <c r="DN39" s="90"/>
      <c r="DO39" s="90"/>
      <c r="DP39" s="90"/>
      <c r="DQ39" s="90"/>
      <c r="DR39" s="90"/>
      <c r="DS39" s="90"/>
      <c r="DT39" s="90"/>
      <c r="DU39" s="90"/>
      <c r="DV39" s="90"/>
      <c r="DW39" s="90"/>
      <c r="DX39" s="90"/>
      <c r="DY39" s="90"/>
      <c r="DZ39" s="90"/>
      <c r="EA39" s="90"/>
      <c r="EB39" s="90"/>
      <c r="EC39" s="90"/>
      <c r="ED39" s="90"/>
      <c r="EE39" s="90"/>
      <c r="EF39" s="90"/>
      <c r="EG39" s="90"/>
      <c r="EH39" s="90"/>
      <c r="EI39" s="90"/>
      <c r="EJ39" s="90"/>
      <c r="EK39" s="90"/>
      <c r="EL39" s="90"/>
      <c r="EM39" s="90"/>
      <c r="EN39" s="90"/>
      <c r="EO39" s="90"/>
      <c r="EP39" s="90"/>
      <c r="EQ39" s="90"/>
      <c r="ER39" s="90"/>
      <c r="ES39" s="90"/>
      <c r="ET39" s="90"/>
      <c r="EU39" s="90"/>
      <c r="EV39" s="90"/>
      <c r="EW39" s="90"/>
      <c r="EX39" s="90"/>
      <c r="EY39" s="90"/>
      <c r="EZ39" s="90"/>
      <c r="FA39" s="90"/>
      <c r="FB39" s="90"/>
      <c r="FC39" s="90"/>
      <c r="FD39" s="90"/>
      <c r="FE39" s="90"/>
    </row>
    <row r="40" spans="1:161" x14ac:dyDescent="0.3">
      <c r="A40" s="90"/>
      <c r="B40" s="91">
        <v>38</v>
      </c>
      <c r="C40" s="91">
        <v>1951276</v>
      </c>
      <c r="D40" s="90" t="s">
        <v>117</v>
      </c>
      <c r="E40" s="91">
        <v>52</v>
      </c>
      <c r="F40" s="91">
        <v>4</v>
      </c>
      <c r="G40" s="91">
        <v>140</v>
      </c>
      <c r="H40" s="91">
        <v>0</v>
      </c>
      <c r="I40" s="91">
        <v>3276</v>
      </c>
      <c r="J40" s="91">
        <v>8</v>
      </c>
      <c r="K40" s="91">
        <v>8</v>
      </c>
      <c r="L40" s="91">
        <v>6</v>
      </c>
      <c r="M40" s="91">
        <v>4</v>
      </c>
      <c r="N40" s="91">
        <v>4</v>
      </c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  <c r="CU40" s="90"/>
      <c r="CV40" s="90"/>
      <c r="CW40" s="90"/>
      <c r="CX40" s="90"/>
      <c r="CY40" s="90"/>
      <c r="CZ40" s="90"/>
      <c r="DA40" s="90"/>
      <c r="DB40" s="90"/>
      <c r="DC40" s="90"/>
      <c r="DD40" s="90"/>
      <c r="DE40" s="90"/>
      <c r="DF40" s="90"/>
      <c r="DG40" s="90"/>
      <c r="DH40" s="90"/>
      <c r="DI40" s="90"/>
      <c r="DJ40" s="90"/>
      <c r="DK40" s="90"/>
      <c r="DL40" s="90"/>
      <c r="DM40" s="90"/>
      <c r="DN40" s="90"/>
      <c r="DO40" s="90"/>
      <c r="DP40" s="90"/>
      <c r="DQ40" s="90"/>
      <c r="DR40" s="90"/>
      <c r="DS40" s="90"/>
      <c r="DT40" s="90"/>
      <c r="DU40" s="90"/>
      <c r="DV40" s="90"/>
      <c r="DW40" s="90"/>
      <c r="DX40" s="90"/>
      <c r="DY40" s="90"/>
      <c r="DZ40" s="90"/>
      <c r="EA40" s="90"/>
      <c r="EB40" s="90"/>
      <c r="EC40" s="90"/>
      <c r="ED40" s="90"/>
      <c r="EE40" s="90"/>
      <c r="EF40" s="90"/>
      <c r="EG40" s="90"/>
      <c r="EH40" s="90"/>
      <c r="EI40" s="90"/>
      <c r="EJ40" s="90"/>
      <c r="EK40" s="90"/>
      <c r="EL40" s="90"/>
      <c r="EM40" s="90"/>
      <c r="EN40" s="90"/>
      <c r="EO40" s="90"/>
      <c r="EP40" s="90"/>
      <c r="EQ40" s="90"/>
      <c r="ER40" s="90"/>
      <c r="ES40" s="90"/>
      <c r="ET40" s="90"/>
      <c r="EU40" s="90"/>
      <c r="EV40" s="90"/>
      <c r="EW40" s="90"/>
      <c r="EX40" s="90"/>
      <c r="EY40" s="90"/>
      <c r="EZ40" s="90"/>
      <c r="FA40" s="90"/>
      <c r="FB40" s="90"/>
      <c r="FC40" s="90"/>
      <c r="FD40" s="90"/>
      <c r="FE40" s="90"/>
    </row>
    <row r="41" spans="1:161" x14ac:dyDescent="0.3">
      <c r="A41" s="90"/>
      <c r="B41" s="91">
        <v>39</v>
      </c>
      <c r="C41" s="91">
        <v>2079084</v>
      </c>
      <c r="D41" s="90" t="s">
        <v>118</v>
      </c>
      <c r="E41" s="91">
        <v>18</v>
      </c>
      <c r="F41" s="91">
        <v>10</v>
      </c>
      <c r="G41" s="91">
        <v>75</v>
      </c>
      <c r="H41" s="91">
        <v>1</v>
      </c>
      <c r="I41" s="91">
        <v>9625</v>
      </c>
      <c r="J41" s="91">
        <v>0</v>
      </c>
      <c r="K41" s="91">
        <v>23</v>
      </c>
      <c r="L41" s="91">
        <v>1</v>
      </c>
      <c r="M41" s="91">
        <v>7</v>
      </c>
      <c r="N41" s="91">
        <v>8</v>
      </c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  <c r="DB41" s="90"/>
      <c r="DC41" s="90"/>
      <c r="DD41" s="90"/>
      <c r="DE41" s="90"/>
      <c r="DF41" s="90"/>
      <c r="DG41" s="90"/>
      <c r="DH41" s="90"/>
      <c r="DI41" s="90"/>
      <c r="DJ41" s="90"/>
      <c r="DK41" s="90"/>
      <c r="DL41" s="90"/>
      <c r="DM41" s="90"/>
      <c r="DN41" s="90"/>
      <c r="DO41" s="90"/>
      <c r="DP41" s="90"/>
      <c r="DQ41" s="90"/>
      <c r="DR41" s="90"/>
      <c r="DS41" s="90"/>
      <c r="DT41" s="90"/>
      <c r="DU41" s="90"/>
      <c r="DV41" s="90"/>
      <c r="DW41" s="90"/>
      <c r="DX41" s="90"/>
      <c r="DY41" s="90"/>
      <c r="DZ41" s="90"/>
      <c r="EA41" s="90"/>
      <c r="EB41" s="90"/>
      <c r="EC41" s="90"/>
      <c r="ED41" s="90"/>
      <c r="EE41" s="90"/>
      <c r="EF41" s="90"/>
      <c r="EG41" s="90"/>
      <c r="EH41" s="90"/>
      <c r="EI41" s="90"/>
      <c r="EJ41" s="90"/>
      <c r="EK41" s="90"/>
      <c r="EL41" s="90"/>
      <c r="EM41" s="90"/>
      <c r="EN41" s="90"/>
      <c r="EO41" s="90"/>
      <c r="EP41" s="90"/>
      <c r="EQ41" s="90"/>
      <c r="ER41" s="90"/>
      <c r="ES41" s="90"/>
      <c r="ET41" s="90"/>
      <c r="EU41" s="90"/>
      <c r="EV41" s="90"/>
      <c r="EW41" s="90"/>
      <c r="EX41" s="90"/>
      <c r="EY41" s="90"/>
      <c r="EZ41" s="90"/>
      <c r="FA41" s="90"/>
      <c r="FB41" s="90"/>
      <c r="FC41" s="90"/>
      <c r="FD41" s="90"/>
      <c r="FE41" s="90"/>
    </row>
    <row r="42" spans="1:161" x14ac:dyDescent="0.3">
      <c r="A42" s="90"/>
      <c r="B42" s="91">
        <v>40</v>
      </c>
      <c r="C42" s="91">
        <v>1956121</v>
      </c>
      <c r="D42" s="90" t="s">
        <v>119</v>
      </c>
      <c r="E42" s="91">
        <v>31</v>
      </c>
      <c r="F42" s="91">
        <v>7</v>
      </c>
      <c r="G42" s="91">
        <v>126</v>
      </c>
      <c r="H42" s="91">
        <v>1</v>
      </c>
      <c r="I42" s="91">
        <v>10735</v>
      </c>
      <c r="J42" s="91">
        <v>1</v>
      </c>
      <c r="K42" s="91">
        <v>0</v>
      </c>
      <c r="L42" s="91">
        <v>7</v>
      </c>
      <c r="M42" s="91">
        <v>7</v>
      </c>
      <c r="N42" s="91">
        <v>7</v>
      </c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90"/>
      <c r="CV42" s="90"/>
      <c r="CW42" s="90"/>
      <c r="CX42" s="90"/>
      <c r="CY42" s="90"/>
      <c r="CZ42" s="90"/>
      <c r="DA42" s="90"/>
      <c r="DB42" s="90"/>
      <c r="DC42" s="90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/>
      <c r="DP42" s="90"/>
      <c r="DQ42" s="90"/>
      <c r="DR42" s="90"/>
      <c r="DS42" s="90"/>
      <c r="DT42" s="90"/>
      <c r="DU42" s="90"/>
      <c r="DV42" s="90"/>
      <c r="DW42" s="90"/>
      <c r="DX42" s="90"/>
      <c r="DY42" s="90"/>
      <c r="DZ42" s="90"/>
      <c r="EA42" s="90"/>
      <c r="EB42" s="90"/>
      <c r="EC42" s="90"/>
      <c r="ED42" s="90"/>
      <c r="EE42" s="90"/>
      <c r="EF42" s="90"/>
      <c r="EG42" s="90"/>
      <c r="EH42" s="90"/>
      <c r="EI42" s="90"/>
      <c r="EJ42" s="90"/>
      <c r="EK42" s="90"/>
      <c r="EL42" s="90"/>
      <c r="EM42" s="90"/>
      <c r="EN42" s="90"/>
      <c r="EO42" s="90"/>
      <c r="EP42" s="90"/>
      <c r="EQ42" s="90"/>
      <c r="ER42" s="90"/>
      <c r="ES42" s="90"/>
      <c r="ET42" s="90"/>
      <c r="EU42" s="90"/>
      <c r="EV42" s="90"/>
      <c r="EW42" s="90"/>
      <c r="EX42" s="90"/>
      <c r="EY42" s="90"/>
      <c r="EZ42" s="90"/>
      <c r="FA42" s="90"/>
      <c r="FB42" s="90"/>
      <c r="FC42" s="90"/>
      <c r="FD42" s="90"/>
      <c r="FE42" s="90"/>
    </row>
    <row r="43" spans="1:161" x14ac:dyDescent="0.3">
      <c r="A43" s="90"/>
      <c r="B43" s="91">
        <v>41</v>
      </c>
      <c r="C43" s="91">
        <v>1969650</v>
      </c>
      <c r="D43" s="90" t="s">
        <v>120</v>
      </c>
      <c r="E43" s="91">
        <v>59</v>
      </c>
      <c r="F43" s="91">
        <v>7</v>
      </c>
      <c r="G43" s="91">
        <v>19</v>
      </c>
      <c r="H43" s="91">
        <v>4</v>
      </c>
      <c r="I43" s="91">
        <v>5789</v>
      </c>
      <c r="J43" s="91">
        <v>4</v>
      </c>
      <c r="K43" s="91">
        <v>27</v>
      </c>
      <c r="L43" s="91">
        <v>6</v>
      </c>
      <c r="M43" s="91">
        <v>7</v>
      </c>
      <c r="N43" s="91">
        <v>6</v>
      </c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  <c r="CN43" s="90"/>
      <c r="CO43" s="90"/>
      <c r="CP43" s="90"/>
      <c r="CQ43" s="90"/>
      <c r="CR43" s="90"/>
      <c r="CS43" s="90"/>
      <c r="CT43" s="90"/>
      <c r="CU43" s="90"/>
      <c r="CV43" s="90"/>
      <c r="CW43" s="90"/>
      <c r="CX43" s="90"/>
      <c r="CY43" s="90"/>
      <c r="CZ43" s="90"/>
      <c r="DA43" s="90"/>
      <c r="DB43" s="90"/>
      <c r="DC43" s="90"/>
      <c r="DD43" s="90"/>
      <c r="DE43" s="90"/>
      <c r="DF43" s="90"/>
      <c r="DG43" s="90"/>
      <c r="DH43" s="90"/>
      <c r="DI43" s="90"/>
      <c r="DJ43" s="90"/>
      <c r="DK43" s="90"/>
      <c r="DL43" s="90"/>
      <c r="DM43" s="90"/>
      <c r="DN43" s="90"/>
      <c r="DO43" s="90"/>
      <c r="DP43" s="90"/>
      <c r="DQ43" s="90"/>
      <c r="DR43" s="90"/>
      <c r="DS43" s="90"/>
      <c r="DT43" s="90"/>
      <c r="DU43" s="90"/>
      <c r="DV43" s="90"/>
      <c r="DW43" s="90"/>
      <c r="DX43" s="90"/>
      <c r="DY43" s="90"/>
      <c r="DZ43" s="90"/>
      <c r="EA43" s="90"/>
      <c r="EB43" s="90"/>
      <c r="EC43" s="90"/>
      <c r="ED43" s="90"/>
      <c r="EE43" s="90"/>
      <c r="EF43" s="90"/>
      <c r="EG43" s="90"/>
      <c r="EH43" s="90"/>
      <c r="EI43" s="90"/>
      <c r="EJ43" s="90"/>
      <c r="EK43" s="90"/>
      <c r="EL43" s="90"/>
      <c r="EM43" s="90"/>
      <c r="EN43" s="90"/>
      <c r="EO43" s="90"/>
      <c r="EP43" s="90"/>
      <c r="EQ43" s="90"/>
      <c r="ER43" s="90"/>
      <c r="ES43" s="90"/>
      <c r="ET43" s="90"/>
      <c r="EU43" s="90"/>
      <c r="EV43" s="90"/>
      <c r="EW43" s="90"/>
      <c r="EX43" s="90"/>
      <c r="EY43" s="90"/>
      <c r="EZ43" s="90"/>
      <c r="FA43" s="90"/>
      <c r="FB43" s="90"/>
      <c r="FC43" s="90"/>
      <c r="FD43" s="90"/>
      <c r="FE43" s="90"/>
    </row>
    <row r="44" spans="1:161" x14ac:dyDescent="0.3">
      <c r="A44" s="90"/>
      <c r="B44" s="91">
        <v>42</v>
      </c>
      <c r="C44" s="91">
        <v>1966592</v>
      </c>
      <c r="D44" s="90" t="s">
        <v>121</v>
      </c>
      <c r="E44" s="91">
        <v>45</v>
      </c>
      <c r="F44" s="91">
        <v>9</v>
      </c>
      <c r="G44" s="91">
        <v>78</v>
      </c>
      <c r="H44" s="91">
        <v>3</v>
      </c>
      <c r="I44" s="91">
        <v>7033</v>
      </c>
      <c r="J44" s="91">
        <v>6</v>
      </c>
      <c r="K44" s="91">
        <v>12</v>
      </c>
      <c r="L44" s="91">
        <v>2</v>
      </c>
      <c r="M44" s="91">
        <v>4</v>
      </c>
      <c r="N44" s="91">
        <v>1</v>
      </c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  <c r="CU44" s="90"/>
      <c r="CV44" s="90"/>
      <c r="CW44" s="90"/>
      <c r="CX44" s="90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90"/>
      <c r="DU44" s="90"/>
      <c r="DV44" s="90"/>
      <c r="DW44" s="90"/>
      <c r="DX44" s="90"/>
      <c r="DY44" s="90"/>
      <c r="DZ44" s="90"/>
      <c r="EA44" s="90"/>
      <c r="EB44" s="90"/>
      <c r="EC44" s="90"/>
      <c r="ED44" s="90"/>
      <c r="EE44" s="90"/>
      <c r="EF44" s="90"/>
      <c r="EG44" s="90"/>
      <c r="EH44" s="90"/>
      <c r="EI44" s="90"/>
      <c r="EJ44" s="90"/>
      <c r="EK44" s="90"/>
      <c r="EL44" s="90"/>
      <c r="EM44" s="90"/>
      <c r="EN44" s="90"/>
      <c r="EO44" s="90"/>
      <c r="EP44" s="90"/>
      <c r="EQ44" s="90"/>
      <c r="ER44" s="90"/>
      <c r="ES44" s="90"/>
      <c r="ET44" s="90"/>
      <c r="EU44" s="90"/>
      <c r="EV44" s="90"/>
      <c r="EW44" s="90"/>
      <c r="EX44" s="90"/>
      <c r="EY44" s="90"/>
      <c r="EZ44" s="90"/>
      <c r="FA44" s="90"/>
      <c r="FB44" s="90"/>
      <c r="FC44" s="90"/>
      <c r="FD44" s="90"/>
      <c r="FE44" s="90"/>
    </row>
    <row r="45" spans="1:161" x14ac:dyDescent="0.3">
      <c r="A45" s="90"/>
      <c r="B45" s="91">
        <v>43</v>
      </c>
      <c r="C45" s="91">
        <v>1870014</v>
      </c>
      <c r="D45" s="90" t="s">
        <v>122</v>
      </c>
      <c r="E45" s="91">
        <v>57</v>
      </c>
      <c r="F45" s="91">
        <v>12</v>
      </c>
      <c r="G45" s="91">
        <v>136</v>
      </c>
      <c r="H45" s="91">
        <v>3</v>
      </c>
      <c r="I45" s="91">
        <v>10384</v>
      </c>
      <c r="J45" s="91">
        <v>2</v>
      </c>
      <c r="K45" s="91">
        <v>18</v>
      </c>
      <c r="L45" s="91">
        <v>3</v>
      </c>
      <c r="M45" s="91">
        <v>2</v>
      </c>
      <c r="N45" s="91">
        <v>6</v>
      </c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  <c r="CU45" s="90"/>
      <c r="CV45" s="90"/>
      <c r="CW45" s="90"/>
      <c r="CX45" s="90"/>
      <c r="CY45" s="90"/>
      <c r="CZ45" s="90"/>
      <c r="DA45" s="90"/>
      <c r="DB45" s="90"/>
      <c r="DC45" s="90"/>
      <c r="DD45" s="90"/>
      <c r="DE45" s="90"/>
      <c r="DF45" s="90"/>
      <c r="DG45" s="90"/>
      <c r="DH45" s="90"/>
      <c r="DI45" s="90"/>
      <c r="DJ45" s="90"/>
      <c r="DK45" s="90"/>
      <c r="DL45" s="90"/>
      <c r="DM45" s="90"/>
      <c r="DN45" s="90"/>
      <c r="DO45" s="90"/>
      <c r="DP45" s="90"/>
      <c r="DQ45" s="90"/>
      <c r="DR45" s="90"/>
      <c r="DS45" s="90"/>
      <c r="DT45" s="90"/>
      <c r="DU45" s="90"/>
      <c r="DV45" s="90"/>
      <c r="DW45" s="90"/>
      <c r="DX45" s="90"/>
      <c r="DY45" s="90"/>
      <c r="DZ45" s="90"/>
      <c r="EA45" s="90"/>
      <c r="EB45" s="90"/>
      <c r="EC45" s="90"/>
      <c r="ED45" s="90"/>
      <c r="EE45" s="90"/>
      <c r="EF45" s="90"/>
      <c r="EG45" s="90"/>
      <c r="EH45" s="90"/>
      <c r="EI45" s="90"/>
      <c r="EJ45" s="90"/>
      <c r="EK45" s="90"/>
      <c r="EL45" s="90"/>
      <c r="EM45" s="90"/>
      <c r="EN45" s="90"/>
      <c r="EO45" s="90"/>
      <c r="EP45" s="90"/>
      <c r="EQ45" s="90"/>
      <c r="ER45" s="90"/>
      <c r="ES45" s="90"/>
      <c r="ET45" s="90"/>
      <c r="EU45" s="90"/>
      <c r="EV45" s="90"/>
      <c r="EW45" s="90"/>
      <c r="EX45" s="90"/>
      <c r="EY45" s="90"/>
      <c r="EZ45" s="90"/>
      <c r="FA45" s="90"/>
      <c r="FB45" s="90"/>
      <c r="FC45" s="90"/>
      <c r="FD45" s="90"/>
      <c r="FE45" s="90"/>
    </row>
    <row r="46" spans="1:161" x14ac:dyDescent="0.3">
      <c r="A46" s="90"/>
      <c r="B46" s="91">
        <v>44</v>
      </c>
      <c r="C46" s="91">
        <v>1971805</v>
      </c>
      <c r="D46" s="90" t="s">
        <v>123</v>
      </c>
      <c r="E46" s="91">
        <v>51</v>
      </c>
      <c r="F46" s="91">
        <v>12</v>
      </c>
      <c r="G46" s="91">
        <v>143</v>
      </c>
      <c r="H46" s="91">
        <v>0</v>
      </c>
      <c r="I46" s="91">
        <v>9049</v>
      </c>
      <c r="J46" s="91">
        <v>3</v>
      </c>
      <c r="K46" s="91">
        <v>5</v>
      </c>
      <c r="L46" s="91">
        <v>4</v>
      </c>
      <c r="M46" s="91">
        <v>4</v>
      </c>
      <c r="N46" s="91">
        <v>2</v>
      </c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0"/>
      <c r="CU46" s="90"/>
      <c r="CV46" s="90"/>
      <c r="CW46" s="90"/>
      <c r="CX46" s="90"/>
      <c r="CY46" s="90"/>
      <c r="CZ46" s="90"/>
      <c r="DA46" s="90"/>
      <c r="DB46" s="90"/>
      <c r="DC46" s="90"/>
      <c r="DD46" s="90"/>
      <c r="DE46" s="90"/>
      <c r="DF46" s="90"/>
      <c r="DG46" s="90"/>
      <c r="DH46" s="90"/>
      <c r="DI46" s="90"/>
      <c r="DJ46" s="90"/>
      <c r="DK46" s="90"/>
      <c r="DL46" s="90"/>
      <c r="DM46" s="90"/>
      <c r="DN46" s="90"/>
      <c r="DO46" s="90"/>
      <c r="DP46" s="90"/>
      <c r="DQ46" s="90"/>
      <c r="DR46" s="90"/>
      <c r="DS46" s="90"/>
      <c r="DT46" s="90"/>
      <c r="DU46" s="90"/>
      <c r="DV46" s="90"/>
      <c r="DW46" s="90"/>
      <c r="DX46" s="90"/>
      <c r="DY46" s="90"/>
      <c r="DZ46" s="90"/>
      <c r="EA46" s="90"/>
      <c r="EB46" s="90"/>
      <c r="EC46" s="90"/>
      <c r="ED46" s="90"/>
      <c r="EE46" s="90"/>
      <c r="EF46" s="90"/>
      <c r="EG46" s="90"/>
      <c r="EH46" s="90"/>
      <c r="EI46" s="90"/>
      <c r="EJ46" s="90"/>
      <c r="EK46" s="90"/>
      <c r="EL46" s="90"/>
      <c r="EM46" s="90"/>
      <c r="EN46" s="90"/>
      <c r="EO46" s="90"/>
      <c r="EP46" s="90"/>
      <c r="EQ46" s="90"/>
      <c r="ER46" s="90"/>
      <c r="ES46" s="90"/>
      <c r="ET46" s="90"/>
      <c r="EU46" s="90"/>
      <c r="EV46" s="90"/>
      <c r="EW46" s="90"/>
      <c r="EX46" s="90"/>
      <c r="EY46" s="90"/>
      <c r="EZ46" s="90"/>
      <c r="FA46" s="90"/>
      <c r="FB46" s="90"/>
      <c r="FC46" s="90"/>
      <c r="FD46" s="90"/>
      <c r="FE46" s="90"/>
    </row>
    <row r="47" spans="1:161" x14ac:dyDescent="0.3">
      <c r="A47" s="90"/>
      <c r="B47" s="91">
        <v>45</v>
      </c>
      <c r="C47" s="91">
        <v>1959417</v>
      </c>
      <c r="D47" s="90" t="s">
        <v>124</v>
      </c>
      <c r="E47" s="91">
        <v>25</v>
      </c>
      <c r="F47" s="91">
        <v>4</v>
      </c>
      <c r="G47" s="91">
        <v>115</v>
      </c>
      <c r="H47" s="91">
        <v>4</v>
      </c>
      <c r="I47" s="91">
        <v>10491</v>
      </c>
      <c r="J47" s="91">
        <v>1</v>
      </c>
      <c r="K47" s="91">
        <v>30</v>
      </c>
      <c r="L47" s="91">
        <v>5</v>
      </c>
      <c r="M47" s="91">
        <v>3</v>
      </c>
      <c r="N47" s="91">
        <v>2</v>
      </c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  <c r="CU47" s="90"/>
      <c r="CV47" s="90"/>
      <c r="CW47" s="90"/>
      <c r="CX47" s="90"/>
      <c r="CY47" s="90"/>
      <c r="CZ47" s="90"/>
      <c r="DA47" s="90"/>
      <c r="DB47" s="90"/>
      <c r="DC47" s="90"/>
      <c r="DD47" s="90"/>
      <c r="DE47" s="90"/>
      <c r="DF47" s="90"/>
      <c r="DG47" s="90"/>
      <c r="DH47" s="90"/>
      <c r="DI47" s="90"/>
      <c r="DJ47" s="90"/>
      <c r="DK47" s="90"/>
      <c r="DL47" s="90"/>
      <c r="DM47" s="90"/>
      <c r="DN47" s="90"/>
      <c r="DO47" s="90"/>
      <c r="DP47" s="90"/>
      <c r="DQ47" s="90"/>
      <c r="DR47" s="90"/>
      <c r="DS47" s="90"/>
      <c r="DT47" s="90"/>
      <c r="DU47" s="90"/>
      <c r="DV47" s="90"/>
      <c r="DW47" s="90"/>
      <c r="DX47" s="90"/>
      <c r="DY47" s="90"/>
      <c r="DZ47" s="90"/>
      <c r="EA47" s="90"/>
      <c r="EB47" s="90"/>
      <c r="EC47" s="90"/>
      <c r="ED47" s="90"/>
      <c r="EE47" s="90"/>
      <c r="EF47" s="90"/>
      <c r="EG47" s="90"/>
      <c r="EH47" s="90"/>
      <c r="EI47" s="90"/>
      <c r="EJ47" s="90"/>
      <c r="EK47" s="90"/>
      <c r="EL47" s="90"/>
      <c r="EM47" s="90"/>
      <c r="EN47" s="90"/>
      <c r="EO47" s="90"/>
      <c r="EP47" s="90"/>
      <c r="EQ47" s="90"/>
      <c r="ER47" s="90"/>
      <c r="ES47" s="90"/>
      <c r="ET47" s="90"/>
      <c r="EU47" s="90"/>
      <c r="EV47" s="90"/>
      <c r="EW47" s="90"/>
      <c r="EX47" s="90"/>
      <c r="EY47" s="90"/>
      <c r="EZ47" s="90"/>
      <c r="FA47" s="90"/>
      <c r="FB47" s="90"/>
      <c r="FC47" s="90"/>
      <c r="FD47" s="90"/>
      <c r="FE47" s="90"/>
    </row>
    <row r="48" spans="1:161" x14ac:dyDescent="0.3">
      <c r="A48" s="90"/>
      <c r="B48" s="91">
        <v>46</v>
      </c>
      <c r="C48" s="91">
        <v>1915440</v>
      </c>
      <c r="D48" s="90" t="s">
        <v>125</v>
      </c>
      <c r="E48" s="91">
        <v>19</v>
      </c>
      <c r="F48" s="91">
        <v>5</v>
      </c>
      <c r="G48" s="91">
        <v>75</v>
      </c>
      <c r="H48" s="91">
        <v>4</v>
      </c>
      <c r="I48" s="91">
        <v>7373</v>
      </c>
      <c r="J48" s="91">
        <v>9</v>
      </c>
      <c r="K48" s="91">
        <v>26</v>
      </c>
      <c r="L48" s="91">
        <v>4</v>
      </c>
      <c r="M48" s="91">
        <v>7</v>
      </c>
      <c r="N48" s="91">
        <v>2</v>
      </c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  <c r="CN48" s="90"/>
      <c r="CO48" s="90"/>
      <c r="CP48" s="90"/>
      <c r="CQ48" s="90"/>
      <c r="CR48" s="90"/>
      <c r="CS48" s="90"/>
      <c r="CT48" s="90"/>
      <c r="CU48" s="90"/>
      <c r="CV48" s="90"/>
      <c r="CW48" s="90"/>
      <c r="CX48" s="90"/>
      <c r="CY48" s="90"/>
      <c r="CZ48" s="90"/>
      <c r="DA48" s="90"/>
      <c r="DB48" s="90"/>
      <c r="DC48" s="90"/>
      <c r="DD48" s="90"/>
      <c r="DE48" s="90"/>
      <c r="DF48" s="90"/>
      <c r="DG48" s="90"/>
      <c r="DH48" s="90"/>
      <c r="DI48" s="90"/>
      <c r="DJ48" s="90"/>
      <c r="DK48" s="90"/>
      <c r="DL48" s="90"/>
      <c r="DM48" s="90"/>
      <c r="DN48" s="90"/>
      <c r="DO48" s="90"/>
      <c r="DP48" s="90"/>
      <c r="DQ48" s="90"/>
      <c r="DR48" s="90"/>
      <c r="DS48" s="90"/>
      <c r="DT48" s="90"/>
      <c r="DU48" s="90"/>
      <c r="DV48" s="90"/>
      <c r="DW48" s="90"/>
      <c r="DX48" s="90"/>
      <c r="DY48" s="90"/>
      <c r="DZ48" s="90"/>
      <c r="EA48" s="90"/>
      <c r="EB48" s="90"/>
      <c r="EC48" s="90"/>
      <c r="ED48" s="90"/>
      <c r="EE48" s="90"/>
      <c r="EF48" s="90"/>
      <c r="EG48" s="90"/>
      <c r="EH48" s="90"/>
      <c r="EI48" s="90"/>
      <c r="EJ48" s="90"/>
      <c r="EK48" s="90"/>
      <c r="EL48" s="90"/>
      <c r="EM48" s="90"/>
      <c r="EN48" s="90"/>
      <c r="EO48" s="90"/>
      <c r="EP48" s="90"/>
      <c r="EQ48" s="90"/>
      <c r="ER48" s="90"/>
      <c r="ES48" s="90"/>
      <c r="ET48" s="90"/>
      <c r="EU48" s="90"/>
      <c r="EV48" s="90"/>
      <c r="EW48" s="90"/>
      <c r="EX48" s="90"/>
      <c r="EY48" s="90"/>
      <c r="EZ48" s="90"/>
      <c r="FA48" s="90"/>
      <c r="FB48" s="90"/>
      <c r="FC48" s="90"/>
      <c r="FD48" s="90"/>
      <c r="FE48" s="90"/>
    </row>
    <row r="49" spans="1:161" x14ac:dyDescent="0.3">
      <c r="A49" s="90"/>
      <c r="B49" s="91">
        <v>47</v>
      </c>
      <c r="C49" s="91">
        <v>2079609</v>
      </c>
      <c r="D49" s="90" t="s">
        <v>126</v>
      </c>
      <c r="E49" s="91">
        <v>23</v>
      </c>
      <c r="F49" s="91">
        <v>11</v>
      </c>
      <c r="G49" s="91">
        <v>94</v>
      </c>
      <c r="H49" s="91">
        <v>3</v>
      </c>
      <c r="I49" s="91">
        <v>7224</v>
      </c>
      <c r="J49" s="91">
        <v>8</v>
      </c>
      <c r="K49" s="91">
        <v>7</v>
      </c>
      <c r="L49" s="91">
        <v>1</v>
      </c>
      <c r="M49" s="91">
        <v>7</v>
      </c>
      <c r="N49" s="91">
        <v>4</v>
      </c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0"/>
      <c r="CU49" s="90"/>
      <c r="CV49" s="90"/>
      <c r="CW49" s="90"/>
      <c r="CX49" s="90"/>
      <c r="CY49" s="90"/>
      <c r="CZ49" s="90"/>
      <c r="DA49" s="90"/>
      <c r="DB49" s="90"/>
      <c r="DC49" s="90"/>
      <c r="DD49" s="90"/>
      <c r="DE49" s="90"/>
      <c r="DF49" s="90"/>
      <c r="DG49" s="90"/>
      <c r="DH49" s="90"/>
      <c r="DI49" s="90"/>
      <c r="DJ49" s="90"/>
      <c r="DK49" s="90"/>
      <c r="DL49" s="90"/>
      <c r="DM49" s="90"/>
      <c r="DN49" s="90"/>
      <c r="DO49" s="90"/>
      <c r="DP49" s="90"/>
      <c r="DQ49" s="90"/>
      <c r="DR49" s="90"/>
      <c r="DS49" s="90"/>
      <c r="DT49" s="90"/>
      <c r="DU49" s="90"/>
      <c r="DV49" s="90"/>
      <c r="DW49" s="90"/>
      <c r="DX49" s="90"/>
      <c r="DY49" s="90"/>
      <c r="DZ49" s="90"/>
      <c r="EA49" s="90"/>
      <c r="EB49" s="90"/>
      <c r="EC49" s="90"/>
      <c r="ED49" s="90"/>
      <c r="EE49" s="90"/>
      <c r="EF49" s="90"/>
      <c r="EG49" s="90"/>
      <c r="EH49" s="90"/>
      <c r="EI49" s="90"/>
      <c r="EJ49" s="90"/>
      <c r="EK49" s="90"/>
      <c r="EL49" s="90"/>
      <c r="EM49" s="90"/>
      <c r="EN49" s="90"/>
      <c r="EO49" s="90"/>
      <c r="EP49" s="90"/>
      <c r="EQ49" s="90"/>
      <c r="ER49" s="90"/>
      <c r="ES49" s="90"/>
      <c r="ET49" s="90"/>
      <c r="EU49" s="90"/>
      <c r="EV49" s="90"/>
      <c r="EW49" s="90"/>
      <c r="EX49" s="90"/>
      <c r="EY49" s="90"/>
      <c r="EZ49" s="90"/>
      <c r="FA49" s="90"/>
      <c r="FB49" s="90"/>
      <c r="FC49" s="90"/>
      <c r="FD49" s="90"/>
      <c r="FE49" s="90"/>
    </row>
    <row r="50" spans="1:161" x14ac:dyDescent="0.3">
      <c r="A50" s="90"/>
      <c r="B50" s="91">
        <v>48</v>
      </c>
      <c r="C50" s="91">
        <v>1967787</v>
      </c>
      <c r="D50" s="90" t="s">
        <v>127</v>
      </c>
      <c r="E50" s="91">
        <v>50</v>
      </c>
      <c r="F50" s="91">
        <v>8</v>
      </c>
      <c r="G50" s="91">
        <v>49</v>
      </c>
      <c r="H50" s="91">
        <v>3</v>
      </c>
      <c r="I50" s="91">
        <v>12487</v>
      </c>
      <c r="J50" s="91">
        <v>0</v>
      </c>
      <c r="K50" s="91">
        <v>25</v>
      </c>
      <c r="L50" s="91">
        <v>0</v>
      </c>
      <c r="M50" s="91">
        <v>4</v>
      </c>
      <c r="N50" s="91">
        <v>5</v>
      </c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  <c r="CN50" s="90"/>
      <c r="CO50" s="90"/>
      <c r="CP50" s="90"/>
      <c r="CQ50" s="90"/>
      <c r="CR50" s="90"/>
      <c r="CS50" s="90"/>
      <c r="CT50" s="90"/>
      <c r="CU50" s="90"/>
      <c r="CV50" s="90"/>
      <c r="CW50" s="90"/>
      <c r="CX50" s="90"/>
      <c r="CY50" s="90"/>
      <c r="CZ50" s="90"/>
      <c r="DA50" s="90"/>
      <c r="DB50" s="90"/>
      <c r="DC50" s="90"/>
      <c r="DD50" s="90"/>
      <c r="DE50" s="90"/>
      <c r="DF50" s="90"/>
      <c r="DG50" s="90"/>
      <c r="DH50" s="90"/>
      <c r="DI50" s="90"/>
      <c r="DJ50" s="90"/>
      <c r="DK50" s="90"/>
      <c r="DL50" s="90"/>
      <c r="DM50" s="90"/>
      <c r="DN50" s="90"/>
      <c r="DO50" s="90"/>
      <c r="DP50" s="90"/>
      <c r="DQ50" s="90"/>
      <c r="DR50" s="90"/>
      <c r="DS50" s="90"/>
      <c r="DT50" s="90"/>
      <c r="DU50" s="90"/>
      <c r="DV50" s="90"/>
      <c r="DW50" s="90"/>
      <c r="DX50" s="90"/>
      <c r="DY50" s="90"/>
      <c r="DZ50" s="90"/>
      <c r="EA50" s="90"/>
      <c r="EB50" s="90"/>
      <c r="EC50" s="90"/>
      <c r="ED50" s="90"/>
      <c r="EE50" s="90"/>
      <c r="EF50" s="90"/>
      <c r="EG50" s="90"/>
      <c r="EH50" s="90"/>
      <c r="EI50" s="90"/>
      <c r="EJ50" s="90"/>
      <c r="EK50" s="90"/>
      <c r="EL50" s="90"/>
      <c r="EM50" s="90"/>
      <c r="EN50" s="90"/>
      <c r="EO50" s="90"/>
      <c r="EP50" s="90"/>
      <c r="EQ50" s="90"/>
      <c r="ER50" s="90"/>
      <c r="ES50" s="90"/>
      <c r="ET50" s="90"/>
      <c r="EU50" s="90"/>
      <c r="EV50" s="90"/>
      <c r="EW50" s="90"/>
      <c r="EX50" s="90"/>
      <c r="EY50" s="90"/>
      <c r="EZ50" s="90"/>
      <c r="FA50" s="90"/>
      <c r="FB50" s="90"/>
      <c r="FC50" s="90"/>
      <c r="FD50" s="90"/>
      <c r="FE50" s="90"/>
    </row>
    <row r="51" spans="1:161" x14ac:dyDescent="0.3">
      <c r="A51" s="90"/>
      <c r="B51" s="91">
        <v>49</v>
      </c>
      <c r="C51" s="91">
        <v>1946786</v>
      </c>
      <c r="D51" s="90" t="s">
        <v>128</v>
      </c>
      <c r="E51" s="91">
        <v>35</v>
      </c>
      <c r="F51" s="91">
        <v>3</v>
      </c>
      <c r="G51" s="91">
        <v>105</v>
      </c>
      <c r="H51" s="91">
        <v>0</v>
      </c>
      <c r="I51" s="91">
        <v>3314</v>
      </c>
      <c r="J51" s="91">
        <v>2</v>
      </c>
      <c r="K51" s="91">
        <v>25</v>
      </c>
      <c r="L51" s="91">
        <v>4</v>
      </c>
      <c r="M51" s="91">
        <v>3</v>
      </c>
      <c r="N51" s="91">
        <v>4</v>
      </c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  <c r="CU51" s="90"/>
      <c r="CV51" s="90"/>
      <c r="CW51" s="90"/>
      <c r="CX51" s="90"/>
      <c r="CY51" s="90"/>
      <c r="CZ51" s="90"/>
      <c r="DA51" s="90"/>
      <c r="DB51" s="90"/>
      <c r="DC51" s="90"/>
      <c r="DD51" s="90"/>
      <c r="DE51" s="90"/>
      <c r="DF51" s="90"/>
      <c r="DG51" s="90"/>
      <c r="DH51" s="90"/>
      <c r="DI51" s="90"/>
      <c r="DJ51" s="90"/>
      <c r="DK51" s="90"/>
      <c r="DL51" s="90"/>
      <c r="DM51" s="90"/>
      <c r="DN51" s="90"/>
      <c r="DO51" s="90"/>
      <c r="DP51" s="90"/>
      <c r="DQ51" s="90"/>
      <c r="DR51" s="90"/>
      <c r="DS51" s="90"/>
      <c r="DT51" s="90"/>
      <c r="DU51" s="90"/>
      <c r="DV51" s="90"/>
      <c r="DW51" s="90"/>
      <c r="DX51" s="90"/>
      <c r="DY51" s="90"/>
      <c r="DZ51" s="90"/>
      <c r="EA51" s="90"/>
      <c r="EB51" s="90"/>
      <c r="EC51" s="90"/>
      <c r="ED51" s="90"/>
      <c r="EE51" s="90"/>
      <c r="EF51" s="90"/>
      <c r="EG51" s="90"/>
      <c r="EH51" s="90"/>
      <c r="EI51" s="90"/>
      <c r="EJ51" s="90"/>
      <c r="EK51" s="90"/>
      <c r="EL51" s="90"/>
      <c r="EM51" s="90"/>
      <c r="EN51" s="90"/>
      <c r="EO51" s="90"/>
      <c r="EP51" s="90"/>
      <c r="EQ51" s="90"/>
      <c r="ER51" s="90"/>
      <c r="ES51" s="90"/>
      <c r="ET51" s="90"/>
      <c r="EU51" s="90"/>
      <c r="EV51" s="90"/>
      <c r="EW51" s="90"/>
      <c r="EX51" s="90"/>
      <c r="EY51" s="90"/>
      <c r="EZ51" s="90"/>
      <c r="FA51" s="90"/>
      <c r="FB51" s="90"/>
      <c r="FC51" s="90"/>
      <c r="FD51" s="90"/>
      <c r="FE51" s="90"/>
    </row>
    <row r="52" spans="1:161" x14ac:dyDescent="0.3">
      <c r="A52" s="90"/>
      <c r="B52" s="91">
        <v>50</v>
      </c>
      <c r="C52" s="91">
        <v>1962176</v>
      </c>
      <c r="D52" s="90" t="s">
        <v>129</v>
      </c>
      <c r="E52" s="91">
        <v>51</v>
      </c>
      <c r="F52" s="91">
        <v>6</v>
      </c>
      <c r="G52" s="91">
        <v>24</v>
      </c>
      <c r="H52" s="91">
        <v>4</v>
      </c>
      <c r="I52" s="91">
        <v>6116</v>
      </c>
      <c r="J52" s="91">
        <v>7</v>
      </c>
      <c r="K52" s="91">
        <v>19</v>
      </c>
      <c r="L52" s="91">
        <v>6</v>
      </c>
      <c r="M52" s="91">
        <v>7</v>
      </c>
      <c r="N52" s="91">
        <v>1</v>
      </c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  <c r="CN52" s="90"/>
      <c r="CO52" s="90"/>
      <c r="CP52" s="90"/>
      <c r="CQ52" s="90"/>
      <c r="CR52" s="90"/>
      <c r="CS52" s="90"/>
      <c r="CT52" s="90"/>
      <c r="CU52" s="90"/>
      <c r="CV52" s="90"/>
      <c r="CW52" s="90"/>
      <c r="CX52" s="90"/>
      <c r="CY52" s="90"/>
      <c r="CZ52" s="90"/>
      <c r="DA52" s="90"/>
      <c r="DB52" s="90"/>
      <c r="DC52" s="90"/>
      <c r="DD52" s="90"/>
      <c r="DE52" s="90"/>
      <c r="DF52" s="90"/>
      <c r="DG52" s="90"/>
      <c r="DH52" s="90"/>
      <c r="DI52" s="90"/>
      <c r="DJ52" s="90"/>
      <c r="DK52" s="90"/>
      <c r="DL52" s="90"/>
      <c r="DM52" s="90"/>
      <c r="DN52" s="90"/>
      <c r="DO52" s="90"/>
      <c r="DP52" s="90"/>
      <c r="DQ52" s="90"/>
      <c r="DR52" s="90"/>
      <c r="DS52" s="90"/>
      <c r="DT52" s="90"/>
      <c r="DU52" s="90"/>
      <c r="DV52" s="90"/>
      <c r="DW52" s="90"/>
      <c r="DX52" s="90"/>
      <c r="DY52" s="90"/>
      <c r="DZ52" s="90"/>
      <c r="EA52" s="90"/>
      <c r="EB52" s="90"/>
      <c r="EC52" s="90"/>
      <c r="ED52" s="90"/>
      <c r="EE52" s="90"/>
      <c r="EF52" s="90"/>
      <c r="EG52" s="90"/>
      <c r="EH52" s="90"/>
      <c r="EI52" s="90"/>
      <c r="EJ52" s="90"/>
      <c r="EK52" s="90"/>
      <c r="EL52" s="90"/>
      <c r="EM52" s="90"/>
      <c r="EN52" s="90"/>
      <c r="EO52" s="90"/>
      <c r="EP52" s="90"/>
      <c r="EQ52" s="90"/>
      <c r="ER52" s="90"/>
      <c r="ES52" s="90"/>
      <c r="ET52" s="90"/>
      <c r="EU52" s="90"/>
      <c r="EV52" s="90"/>
      <c r="EW52" s="90"/>
      <c r="EX52" s="90"/>
      <c r="EY52" s="90"/>
      <c r="EZ52" s="90"/>
      <c r="FA52" s="90"/>
      <c r="FB52" s="90"/>
      <c r="FC52" s="90"/>
      <c r="FD52" s="90"/>
      <c r="FE52" s="90"/>
    </row>
    <row r="53" spans="1:161" x14ac:dyDescent="0.3">
      <c r="B53" s="1"/>
      <c r="C53" s="1"/>
      <c r="E53" s="1"/>
      <c r="F53" s="1">
        <f>SUM(F3:F52)</f>
        <v>332</v>
      </c>
      <c r="G53" s="1"/>
      <c r="H53" s="1"/>
      <c r="I53" s="1"/>
      <c r="J53" s="1"/>
      <c r="K53" s="1"/>
      <c r="L53" s="1"/>
      <c r="M53" s="1">
        <f>SUM(M3:M52)</f>
        <v>212</v>
      </c>
      <c r="N53" s="1">
        <f>SUM(N3:N52)</f>
        <v>213</v>
      </c>
    </row>
    <row r="54" spans="1:161" x14ac:dyDescent="0.3">
      <c r="A54" s="18" t="s">
        <v>130</v>
      </c>
      <c r="D54" t="s">
        <v>131</v>
      </c>
    </row>
    <row r="56" spans="1:161" x14ac:dyDescent="0.3">
      <c r="A56" s="18" t="s">
        <v>132</v>
      </c>
      <c r="D56" t="s">
        <v>17</v>
      </c>
      <c r="E56" s="63">
        <v>25</v>
      </c>
      <c r="F56" s="63">
        <v>10</v>
      </c>
      <c r="G56" s="63">
        <v>79</v>
      </c>
      <c r="H56" s="63">
        <v>2</v>
      </c>
      <c r="I56" s="63">
        <v>14654</v>
      </c>
      <c r="J56" s="63">
        <v>3</v>
      </c>
      <c r="K56" s="63">
        <v>16</v>
      </c>
      <c r="L56" s="63">
        <v>0</v>
      </c>
      <c r="M56" s="63">
        <v>2</v>
      </c>
      <c r="N56" s="63">
        <v>4</v>
      </c>
    </row>
    <row r="57" spans="1:161" x14ac:dyDescent="0.3">
      <c r="D57" t="s">
        <v>18</v>
      </c>
      <c r="E57" s="63">
        <v>41</v>
      </c>
      <c r="F57" s="63">
        <v>9</v>
      </c>
      <c r="G57" s="63">
        <v>39</v>
      </c>
      <c r="H57" s="63">
        <v>1</v>
      </c>
      <c r="I57" s="63">
        <v>13818</v>
      </c>
      <c r="J57" s="63">
        <v>9</v>
      </c>
      <c r="K57" s="63">
        <v>8</v>
      </c>
      <c r="L57" s="63">
        <v>0</v>
      </c>
      <c r="M57" s="63">
        <v>2</v>
      </c>
      <c r="N57" s="63">
        <v>5</v>
      </c>
    </row>
    <row r="58" spans="1:161" x14ac:dyDescent="0.3">
      <c r="D58" t="s">
        <v>133</v>
      </c>
      <c r="E58" s="63">
        <v>53</v>
      </c>
      <c r="F58" s="63">
        <v>7</v>
      </c>
      <c r="G58" s="63">
        <v>6</v>
      </c>
      <c r="H58" s="63">
        <v>1</v>
      </c>
      <c r="I58" s="63">
        <v>3267</v>
      </c>
      <c r="J58" s="63">
        <v>9</v>
      </c>
      <c r="K58" s="63">
        <v>23</v>
      </c>
      <c r="L58" s="63">
        <v>6</v>
      </c>
      <c r="M58" s="63">
        <v>5</v>
      </c>
      <c r="N58" s="63">
        <v>2</v>
      </c>
    </row>
    <row r="60" spans="1:161" x14ac:dyDescent="0.3">
      <c r="A60" s="18" t="s">
        <v>134</v>
      </c>
      <c r="E60" s="22" t="s">
        <v>17</v>
      </c>
      <c r="F60" s="22" t="s">
        <v>18</v>
      </c>
      <c r="G60" s="22" t="s">
        <v>133</v>
      </c>
    </row>
    <row r="61" spans="1:161" x14ac:dyDescent="0.3">
      <c r="D61">
        <v>1</v>
      </c>
      <c r="E61">
        <f>ABS($E$56-E3) + ABS($F$56-F3) + ABS($G$56-G3) + ABS($H$56-H3) + ABS($I$56-I3) + ABS($J$56-J3) + ABS($K$56-K3) + ABS($L$56-L3) + ABS($M$56-M3) + ABS($N$56-N3)</f>
        <v>11133</v>
      </c>
    </row>
    <row r="62" spans="1:161" x14ac:dyDescent="0.3">
      <c r="D62">
        <v>2</v>
      </c>
    </row>
    <row r="63" spans="1:161" x14ac:dyDescent="0.3">
      <c r="D63">
        <v>3</v>
      </c>
    </row>
    <row r="64" spans="1:161" x14ac:dyDescent="0.3">
      <c r="D64">
        <v>4</v>
      </c>
    </row>
    <row r="65" spans="4:4" x14ac:dyDescent="0.3">
      <c r="D65">
        <v>5</v>
      </c>
    </row>
    <row r="66" spans="4:4" x14ac:dyDescent="0.3">
      <c r="D66">
        <v>6</v>
      </c>
    </row>
    <row r="67" spans="4:4" x14ac:dyDescent="0.3">
      <c r="D67">
        <v>7</v>
      </c>
    </row>
    <row r="68" spans="4:4" x14ac:dyDescent="0.3">
      <c r="D68">
        <v>8</v>
      </c>
    </row>
    <row r="69" spans="4:4" x14ac:dyDescent="0.3">
      <c r="D69">
        <v>9</v>
      </c>
    </row>
    <row r="70" spans="4:4" x14ac:dyDescent="0.3">
      <c r="D70">
        <v>10</v>
      </c>
    </row>
    <row r="71" spans="4:4" x14ac:dyDescent="0.3">
      <c r="D71">
        <v>11</v>
      </c>
    </row>
    <row r="72" spans="4:4" x14ac:dyDescent="0.3">
      <c r="D72">
        <v>12</v>
      </c>
    </row>
    <row r="73" spans="4:4" x14ac:dyDescent="0.3">
      <c r="D73">
        <v>13</v>
      </c>
    </row>
    <row r="74" spans="4:4" x14ac:dyDescent="0.3">
      <c r="D74">
        <v>14</v>
      </c>
    </row>
    <row r="75" spans="4:4" x14ac:dyDescent="0.3">
      <c r="D75">
        <v>15</v>
      </c>
    </row>
    <row r="76" spans="4:4" x14ac:dyDescent="0.3">
      <c r="D76">
        <v>16</v>
      </c>
    </row>
    <row r="77" spans="4:4" x14ac:dyDescent="0.3">
      <c r="D77">
        <v>17</v>
      </c>
    </row>
    <row r="78" spans="4:4" x14ac:dyDescent="0.3">
      <c r="D78">
        <v>18</v>
      </c>
    </row>
    <row r="79" spans="4:4" x14ac:dyDescent="0.3">
      <c r="D79">
        <v>19</v>
      </c>
    </row>
    <row r="80" spans="4:4" x14ac:dyDescent="0.3">
      <c r="D80">
        <v>20</v>
      </c>
    </row>
    <row r="81" spans="4:4" x14ac:dyDescent="0.3">
      <c r="D81">
        <v>21</v>
      </c>
    </row>
    <row r="82" spans="4:4" x14ac:dyDescent="0.3">
      <c r="D82">
        <v>22</v>
      </c>
    </row>
    <row r="83" spans="4:4" x14ac:dyDescent="0.3">
      <c r="D83">
        <v>23</v>
      </c>
    </row>
    <row r="84" spans="4:4" x14ac:dyDescent="0.3">
      <c r="D84">
        <v>24</v>
      </c>
    </row>
    <row r="85" spans="4:4" x14ac:dyDescent="0.3">
      <c r="D85">
        <v>25</v>
      </c>
    </row>
    <row r="86" spans="4:4" x14ac:dyDescent="0.3">
      <c r="D86">
        <v>26</v>
      </c>
    </row>
    <row r="87" spans="4:4" x14ac:dyDescent="0.3">
      <c r="D87">
        <v>27</v>
      </c>
    </row>
    <row r="88" spans="4:4" x14ac:dyDescent="0.3">
      <c r="D88">
        <v>28</v>
      </c>
    </row>
    <row r="89" spans="4:4" x14ac:dyDescent="0.3">
      <c r="D89">
        <v>29</v>
      </c>
    </row>
    <row r="90" spans="4:4" x14ac:dyDescent="0.3">
      <c r="D90">
        <v>30</v>
      </c>
    </row>
    <row r="91" spans="4:4" x14ac:dyDescent="0.3">
      <c r="D91">
        <v>31</v>
      </c>
    </row>
    <row r="92" spans="4:4" x14ac:dyDescent="0.3">
      <c r="D92">
        <v>32</v>
      </c>
    </row>
    <row r="93" spans="4:4" x14ac:dyDescent="0.3">
      <c r="D93">
        <v>33</v>
      </c>
    </row>
    <row r="94" spans="4:4" x14ac:dyDescent="0.3">
      <c r="D94">
        <v>34</v>
      </c>
    </row>
    <row r="95" spans="4:4" x14ac:dyDescent="0.3">
      <c r="D95">
        <v>35</v>
      </c>
    </row>
    <row r="96" spans="4:4" x14ac:dyDescent="0.3">
      <c r="D96">
        <v>36</v>
      </c>
    </row>
    <row r="97" spans="4:4" x14ac:dyDescent="0.3">
      <c r="D97">
        <v>37</v>
      </c>
    </row>
    <row r="98" spans="4:4" x14ac:dyDescent="0.3">
      <c r="D98">
        <v>38</v>
      </c>
    </row>
    <row r="99" spans="4:4" x14ac:dyDescent="0.3">
      <c r="D99">
        <v>39</v>
      </c>
    </row>
    <row r="100" spans="4:4" x14ac:dyDescent="0.3">
      <c r="D100">
        <v>40</v>
      </c>
    </row>
    <row r="101" spans="4:4" x14ac:dyDescent="0.3">
      <c r="D101">
        <v>41</v>
      </c>
    </row>
    <row r="102" spans="4:4" x14ac:dyDescent="0.3">
      <c r="D102">
        <v>42</v>
      </c>
    </row>
    <row r="103" spans="4:4" x14ac:dyDescent="0.3">
      <c r="D103">
        <v>43</v>
      </c>
    </row>
    <row r="104" spans="4:4" x14ac:dyDescent="0.3">
      <c r="D104">
        <v>44</v>
      </c>
    </row>
    <row r="105" spans="4:4" x14ac:dyDescent="0.3">
      <c r="D105">
        <v>45</v>
      </c>
    </row>
    <row r="106" spans="4:4" x14ac:dyDescent="0.3">
      <c r="D106">
        <v>46</v>
      </c>
    </row>
    <row r="107" spans="4:4" x14ac:dyDescent="0.3">
      <c r="D107">
        <v>47</v>
      </c>
    </row>
    <row r="108" spans="4:4" x14ac:dyDescent="0.3">
      <c r="D108">
        <v>48</v>
      </c>
    </row>
    <row r="109" spans="4:4" x14ac:dyDescent="0.3">
      <c r="D109">
        <v>49</v>
      </c>
    </row>
    <row r="110" spans="4:4" x14ac:dyDescent="0.3">
      <c r="D110">
        <v>50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2"/>
  <sheetViews>
    <sheetView workbookViewId="0">
      <selection activeCell="N3" sqref="N3"/>
    </sheetView>
  </sheetViews>
  <sheetFormatPr defaultColWidth="11.44140625" defaultRowHeight="14.4" x14ac:dyDescent="0.3"/>
  <sheetData>
    <row r="1" spans="1:14" ht="21" x14ac:dyDescent="0.4">
      <c r="A1" s="96" t="s">
        <v>66</v>
      </c>
      <c r="B1" s="96"/>
      <c r="C1" s="9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57.6" x14ac:dyDescent="0.3">
      <c r="B2" s="1" t="s">
        <v>67</v>
      </c>
      <c r="C2" s="10" t="s">
        <v>68</v>
      </c>
      <c r="D2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</row>
    <row r="3" spans="1:14" x14ac:dyDescent="0.3">
      <c r="B3" s="1">
        <v>1</v>
      </c>
      <c r="C3" s="1">
        <v>1956496</v>
      </c>
      <c r="D3" t="s">
        <v>80</v>
      </c>
      <c r="E3" s="1">
        <v>42</v>
      </c>
      <c r="F3" s="1" t="s">
        <v>135</v>
      </c>
      <c r="G3" s="1">
        <v>140</v>
      </c>
      <c r="H3" s="1">
        <v>2</v>
      </c>
      <c r="I3" s="1">
        <v>3619</v>
      </c>
      <c r="J3" s="1">
        <v>5</v>
      </c>
      <c r="K3" s="1">
        <v>15</v>
      </c>
      <c r="L3" s="1">
        <v>1</v>
      </c>
      <c r="M3" s="1" t="s">
        <v>136</v>
      </c>
      <c r="N3" s="1" t="s">
        <v>137</v>
      </c>
    </row>
    <row r="4" spans="1:14" x14ac:dyDescent="0.3">
      <c r="B4" s="1">
        <v>2</v>
      </c>
      <c r="C4" s="1">
        <v>1946459</v>
      </c>
      <c r="D4" t="s">
        <v>81</v>
      </c>
      <c r="E4" s="1">
        <v>43</v>
      </c>
      <c r="F4" s="1" t="s">
        <v>138</v>
      </c>
      <c r="G4" s="1">
        <v>60</v>
      </c>
      <c r="H4" s="1">
        <v>3</v>
      </c>
      <c r="I4" s="1">
        <v>14295</v>
      </c>
      <c r="J4" s="1">
        <v>1</v>
      </c>
      <c r="K4" s="1">
        <v>14</v>
      </c>
      <c r="L4" s="1">
        <v>2</v>
      </c>
      <c r="M4" s="1" t="s">
        <v>139</v>
      </c>
      <c r="N4" s="1" t="s">
        <v>140</v>
      </c>
    </row>
    <row r="5" spans="1:14" x14ac:dyDescent="0.3">
      <c r="B5" s="1">
        <v>3</v>
      </c>
      <c r="C5" s="1">
        <v>1946839</v>
      </c>
      <c r="D5" t="s">
        <v>82</v>
      </c>
      <c r="E5" s="1">
        <v>32</v>
      </c>
      <c r="F5" s="1" t="s">
        <v>141</v>
      </c>
      <c r="G5" s="1">
        <v>132</v>
      </c>
      <c r="H5" s="1">
        <v>0</v>
      </c>
      <c r="I5" s="1">
        <v>6555</v>
      </c>
      <c r="J5" s="1">
        <v>0</v>
      </c>
      <c r="K5" s="1">
        <v>28</v>
      </c>
      <c r="L5" s="1">
        <v>4</v>
      </c>
      <c r="M5" s="1" t="s">
        <v>142</v>
      </c>
      <c r="N5" s="1" t="s">
        <v>143</v>
      </c>
    </row>
    <row r="6" spans="1:14" x14ac:dyDescent="0.3">
      <c r="B6" s="1">
        <v>4</v>
      </c>
      <c r="C6" s="1">
        <v>1915784</v>
      </c>
      <c r="D6" t="s">
        <v>83</v>
      </c>
      <c r="E6" s="1">
        <v>20</v>
      </c>
      <c r="F6" s="1" t="s">
        <v>135</v>
      </c>
      <c r="G6" s="1">
        <v>46</v>
      </c>
      <c r="H6" s="1">
        <v>1</v>
      </c>
      <c r="I6" s="1">
        <v>3585</v>
      </c>
      <c r="J6" s="1">
        <v>5</v>
      </c>
      <c r="K6" s="1">
        <v>19</v>
      </c>
      <c r="L6" s="1">
        <v>7</v>
      </c>
      <c r="M6" s="1" t="s">
        <v>144</v>
      </c>
      <c r="N6" s="1" t="s">
        <v>145</v>
      </c>
    </row>
    <row r="7" spans="1:14" x14ac:dyDescent="0.3">
      <c r="B7" s="1">
        <v>5</v>
      </c>
      <c r="C7" s="1">
        <v>1956776</v>
      </c>
      <c r="D7" t="s">
        <v>84</v>
      </c>
      <c r="E7" s="1">
        <v>25</v>
      </c>
      <c r="F7" s="1" t="s">
        <v>146</v>
      </c>
      <c r="G7" s="1">
        <v>79</v>
      </c>
      <c r="H7" s="1">
        <v>2</v>
      </c>
      <c r="I7" s="1">
        <v>14654</v>
      </c>
      <c r="J7" s="1">
        <v>3</v>
      </c>
      <c r="K7" s="1">
        <v>16</v>
      </c>
      <c r="L7" s="1">
        <v>0</v>
      </c>
      <c r="M7" s="1" t="s">
        <v>147</v>
      </c>
      <c r="N7" s="1" t="s">
        <v>148</v>
      </c>
    </row>
    <row r="8" spans="1:14" x14ac:dyDescent="0.3">
      <c r="B8" s="1">
        <v>6</v>
      </c>
      <c r="C8" s="1">
        <v>1972776</v>
      </c>
      <c r="D8" t="s">
        <v>85</v>
      </c>
      <c r="E8" s="1">
        <v>54</v>
      </c>
      <c r="F8" s="1" t="s">
        <v>149</v>
      </c>
      <c r="G8" s="1">
        <v>21</v>
      </c>
      <c r="H8" s="1">
        <v>4</v>
      </c>
      <c r="I8" s="1">
        <v>6463</v>
      </c>
      <c r="J8" s="1">
        <v>7</v>
      </c>
      <c r="K8" s="1">
        <v>9</v>
      </c>
      <c r="L8" s="1">
        <v>6</v>
      </c>
      <c r="M8" s="1" t="s">
        <v>147</v>
      </c>
      <c r="N8" s="1" t="s">
        <v>137</v>
      </c>
    </row>
    <row r="9" spans="1:14" x14ac:dyDescent="0.3">
      <c r="B9" s="1">
        <v>7</v>
      </c>
      <c r="C9" s="1">
        <v>1958969</v>
      </c>
      <c r="D9" t="s">
        <v>86</v>
      </c>
      <c r="E9" s="1">
        <v>33</v>
      </c>
      <c r="F9" s="1" t="s">
        <v>150</v>
      </c>
      <c r="G9" s="1">
        <v>107</v>
      </c>
      <c r="H9" s="1">
        <v>0</v>
      </c>
      <c r="I9" s="1">
        <v>7833</v>
      </c>
      <c r="J9" s="1">
        <v>8</v>
      </c>
      <c r="K9" s="1">
        <v>24</v>
      </c>
      <c r="L9" s="1">
        <v>4</v>
      </c>
      <c r="M9" s="1" t="s">
        <v>142</v>
      </c>
      <c r="N9" s="1" t="s">
        <v>151</v>
      </c>
    </row>
    <row r="10" spans="1:14" x14ac:dyDescent="0.3">
      <c r="B10" s="1">
        <v>8</v>
      </c>
      <c r="C10" s="1">
        <v>1967427</v>
      </c>
      <c r="D10" t="s">
        <v>87</v>
      </c>
      <c r="E10" s="1">
        <v>46</v>
      </c>
      <c r="F10" s="1" t="s">
        <v>152</v>
      </c>
      <c r="G10" s="1">
        <v>75</v>
      </c>
      <c r="H10" s="1">
        <v>0</v>
      </c>
      <c r="I10" s="1">
        <v>11403</v>
      </c>
      <c r="J10" s="1">
        <v>6</v>
      </c>
      <c r="K10" s="1">
        <v>25</v>
      </c>
      <c r="L10" s="1">
        <v>6</v>
      </c>
      <c r="M10" s="1" t="s">
        <v>142</v>
      </c>
      <c r="N10" s="1" t="s">
        <v>151</v>
      </c>
    </row>
    <row r="11" spans="1:14" x14ac:dyDescent="0.3">
      <c r="B11" s="1">
        <v>9</v>
      </c>
      <c r="C11" s="1">
        <v>1970396</v>
      </c>
      <c r="D11" t="s">
        <v>88</v>
      </c>
      <c r="E11" s="1">
        <v>36</v>
      </c>
      <c r="F11" s="1" t="s">
        <v>135</v>
      </c>
      <c r="G11" s="1">
        <v>33</v>
      </c>
      <c r="H11" s="1">
        <v>2</v>
      </c>
      <c r="I11" s="1">
        <v>5781</v>
      </c>
      <c r="J11" s="1">
        <v>6</v>
      </c>
      <c r="K11" s="1">
        <v>6</v>
      </c>
      <c r="L11" s="1">
        <v>2</v>
      </c>
      <c r="M11" s="1" t="s">
        <v>142</v>
      </c>
      <c r="N11" s="1" t="s">
        <v>143</v>
      </c>
    </row>
    <row r="12" spans="1:14" x14ac:dyDescent="0.3">
      <c r="B12" s="1">
        <v>10</v>
      </c>
      <c r="C12" s="1">
        <v>2079503</v>
      </c>
      <c r="D12" t="s">
        <v>89</v>
      </c>
      <c r="E12" s="1">
        <v>64</v>
      </c>
      <c r="F12" s="1" t="s">
        <v>153</v>
      </c>
      <c r="G12" s="1">
        <v>91</v>
      </c>
      <c r="H12" s="1">
        <v>1</v>
      </c>
      <c r="I12" s="1">
        <v>10858</v>
      </c>
      <c r="J12" s="1">
        <v>9</v>
      </c>
      <c r="K12" s="1">
        <v>3</v>
      </c>
      <c r="L12" s="1">
        <v>2</v>
      </c>
      <c r="M12" s="1" t="s">
        <v>136</v>
      </c>
      <c r="N12" s="1" t="s">
        <v>140</v>
      </c>
    </row>
    <row r="13" spans="1:14" x14ac:dyDescent="0.3">
      <c r="B13" s="1">
        <v>11</v>
      </c>
      <c r="C13" s="1">
        <v>1959927</v>
      </c>
      <c r="D13" t="s">
        <v>90</v>
      </c>
      <c r="E13" s="1">
        <v>32</v>
      </c>
      <c r="F13" s="1" t="s">
        <v>154</v>
      </c>
      <c r="G13" s="1">
        <v>30</v>
      </c>
      <c r="H13" s="1">
        <v>3</v>
      </c>
      <c r="I13" s="1">
        <v>7899</v>
      </c>
      <c r="J13" s="1">
        <v>4</v>
      </c>
      <c r="K13" s="1">
        <v>6</v>
      </c>
      <c r="L13" s="1">
        <v>1</v>
      </c>
      <c r="M13" s="1" t="s">
        <v>155</v>
      </c>
      <c r="N13" s="1" t="s">
        <v>140</v>
      </c>
    </row>
    <row r="14" spans="1:14" x14ac:dyDescent="0.3">
      <c r="B14" s="1">
        <v>12</v>
      </c>
      <c r="C14" s="1">
        <v>1951534</v>
      </c>
      <c r="D14" t="s">
        <v>91</v>
      </c>
      <c r="E14" s="1">
        <v>23</v>
      </c>
      <c r="F14" s="1" t="s">
        <v>152</v>
      </c>
      <c r="G14" s="1">
        <v>86</v>
      </c>
      <c r="H14" s="1">
        <v>3</v>
      </c>
      <c r="I14" s="1">
        <v>7682</v>
      </c>
      <c r="J14" s="1">
        <v>0</v>
      </c>
      <c r="K14" s="1">
        <v>12</v>
      </c>
      <c r="L14" s="1">
        <v>3</v>
      </c>
      <c r="M14" s="1" t="s">
        <v>155</v>
      </c>
      <c r="N14" s="1" t="s">
        <v>137</v>
      </c>
    </row>
    <row r="15" spans="1:14" x14ac:dyDescent="0.3">
      <c r="B15" s="1">
        <v>13</v>
      </c>
      <c r="C15" s="1">
        <v>2079538</v>
      </c>
      <c r="D15" t="s">
        <v>92</v>
      </c>
      <c r="E15" s="1">
        <v>65</v>
      </c>
      <c r="F15" s="1" t="s">
        <v>154</v>
      </c>
      <c r="G15" s="1">
        <v>18</v>
      </c>
      <c r="H15" s="1">
        <v>0</v>
      </c>
      <c r="I15" s="1">
        <v>13685</v>
      </c>
      <c r="J15" s="1">
        <v>2</v>
      </c>
      <c r="K15" s="1">
        <v>16</v>
      </c>
      <c r="L15" s="1">
        <v>7</v>
      </c>
      <c r="M15" s="1" t="s">
        <v>144</v>
      </c>
      <c r="N15" s="1" t="s">
        <v>156</v>
      </c>
    </row>
    <row r="16" spans="1:14" x14ac:dyDescent="0.3">
      <c r="B16" s="1">
        <v>14</v>
      </c>
      <c r="C16" s="1">
        <v>1979637</v>
      </c>
      <c r="D16" t="s">
        <v>93</v>
      </c>
      <c r="E16" s="1">
        <v>44</v>
      </c>
      <c r="F16" s="1" t="s">
        <v>135</v>
      </c>
      <c r="G16" s="1">
        <v>90</v>
      </c>
      <c r="H16" s="1">
        <v>4</v>
      </c>
      <c r="I16" s="1">
        <v>5741</v>
      </c>
      <c r="J16" s="1">
        <v>4</v>
      </c>
      <c r="K16" s="1">
        <v>1</v>
      </c>
      <c r="L16" s="1">
        <v>4</v>
      </c>
      <c r="M16" s="1" t="s">
        <v>157</v>
      </c>
      <c r="N16" s="1" t="s">
        <v>137</v>
      </c>
    </row>
    <row r="17" spans="2:14" x14ac:dyDescent="0.3">
      <c r="B17" s="1">
        <v>15</v>
      </c>
      <c r="C17" s="1">
        <v>1946634</v>
      </c>
      <c r="D17" t="s">
        <v>94</v>
      </c>
      <c r="E17" s="1">
        <v>46</v>
      </c>
      <c r="F17" s="1" t="s">
        <v>149</v>
      </c>
      <c r="G17" s="1">
        <v>75</v>
      </c>
      <c r="H17" s="1">
        <v>5</v>
      </c>
      <c r="I17" s="1">
        <v>13465</v>
      </c>
      <c r="J17" s="1">
        <v>8</v>
      </c>
      <c r="K17" s="1">
        <v>27</v>
      </c>
      <c r="L17" s="1">
        <v>0</v>
      </c>
      <c r="M17" s="1" t="s">
        <v>136</v>
      </c>
      <c r="N17" s="1" t="s">
        <v>140</v>
      </c>
    </row>
    <row r="18" spans="2:14" x14ac:dyDescent="0.3">
      <c r="B18" s="1">
        <v>16</v>
      </c>
      <c r="C18" s="1">
        <v>1973088</v>
      </c>
      <c r="D18" t="s">
        <v>95</v>
      </c>
      <c r="E18" s="1">
        <v>23</v>
      </c>
      <c r="F18" s="1" t="s">
        <v>158</v>
      </c>
      <c r="G18" s="1">
        <v>32</v>
      </c>
      <c r="H18" s="1">
        <v>3</v>
      </c>
      <c r="I18" s="1">
        <v>9074</v>
      </c>
      <c r="J18" s="1">
        <v>10</v>
      </c>
      <c r="K18" s="1">
        <v>20</v>
      </c>
      <c r="L18" s="1">
        <v>6</v>
      </c>
      <c r="M18" s="1" t="s">
        <v>157</v>
      </c>
      <c r="N18" s="1" t="s">
        <v>140</v>
      </c>
    </row>
    <row r="19" spans="2:14" x14ac:dyDescent="0.3">
      <c r="B19" s="1">
        <v>17</v>
      </c>
      <c r="C19" s="1">
        <v>2079552</v>
      </c>
      <c r="D19" t="s">
        <v>96</v>
      </c>
      <c r="E19" s="1">
        <v>60</v>
      </c>
      <c r="F19" s="1" t="s">
        <v>152</v>
      </c>
      <c r="G19" s="1">
        <v>38</v>
      </c>
      <c r="H19" s="1">
        <v>5</v>
      </c>
      <c r="I19" s="1">
        <v>14580</v>
      </c>
      <c r="J19" s="1">
        <v>4</v>
      </c>
      <c r="K19" s="1">
        <v>26</v>
      </c>
      <c r="L19" s="1">
        <v>6</v>
      </c>
      <c r="M19" s="1" t="s">
        <v>147</v>
      </c>
      <c r="N19" s="1" t="s">
        <v>140</v>
      </c>
    </row>
    <row r="20" spans="2:14" x14ac:dyDescent="0.3">
      <c r="B20" s="1">
        <v>18</v>
      </c>
      <c r="C20" s="1">
        <v>1945184</v>
      </c>
      <c r="D20" t="s">
        <v>97</v>
      </c>
      <c r="E20" s="1">
        <v>41</v>
      </c>
      <c r="F20" s="1" t="s">
        <v>159</v>
      </c>
      <c r="G20" s="1">
        <v>39</v>
      </c>
      <c r="H20" s="1">
        <v>1</v>
      </c>
      <c r="I20" s="1">
        <v>13818</v>
      </c>
      <c r="J20" s="1">
        <v>9</v>
      </c>
      <c r="K20" s="1">
        <v>8</v>
      </c>
      <c r="L20" s="1">
        <v>0</v>
      </c>
      <c r="M20" s="1" t="s">
        <v>147</v>
      </c>
      <c r="N20" s="1" t="s">
        <v>143</v>
      </c>
    </row>
    <row r="21" spans="2:14" x14ac:dyDescent="0.3">
      <c r="B21" s="1">
        <v>19</v>
      </c>
      <c r="C21" s="1">
        <v>2036269</v>
      </c>
      <c r="D21" t="s">
        <v>98</v>
      </c>
      <c r="E21" s="1">
        <v>60</v>
      </c>
      <c r="F21" s="1" t="s">
        <v>154</v>
      </c>
      <c r="G21" s="1">
        <v>15</v>
      </c>
      <c r="H21" s="1">
        <v>0</v>
      </c>
      <c r="I21" s="1">
        <v>3954</v>
      </c>
      <c r="J21" s="1">
        <v>7</v>
      </c>
      <c r="K21" s="1">
        <v>6</v>
      </c>
      <c r="L21" s="1">
        <v>0</v>
      </c>
      <c r="M21" s="1" t="s">
        <v>139</v>
      </c>
      <c r="N21" s="1" t="s">
        <v>143</v>
      </c>
    </row>
    <row r="22" spans="2:14" x14ac:dyDescent="0.3">
      <c r="B22" s="1">
        <v>20</v>
      </c>
      <c r="C22" s="1">
        <v>1961036</v>
      </c>
      <c r="D22" t="s">
        <v>99</v>
      </c>
      <c r="E22" s="1">
        <v>29</v>
      </c>
      <c r="F22" s="1" t="s">
        <v>138</v>
      </c>
      <c r="G22" s="1">
        <v>66</v>
      </c>
      <c r="H22" s="1">
        <v>1</v>
      </c>
      <c r="I22" s="1">
        <v>3422</v>
      </c>
      <c r="J22" s="1">
        <v>9</v>
      </c>
      <c r="K22" s="1">
        <v>19</v>
      </c>
      <c r="L22" s="1">
        <v>6</v>
      </c>
      <c r="M22" s="1" t="s">
        <v>139</v>
      </c>
      <c r="N22" s="1" t="s">
        <v>151</v>
      </c>
    </row>
    <row r="23" spans="2:14" x14ac:dyDescent="0.3">
      <c r="B23" s="1">
        <v>21</v>
      </c>
      <c r="C23" s="1">
        <v>1964215</v>
      </c>
      <c r="D23" t="s">
        <v>100</v>
      </c>
      <c r="E23" s="1">
        <v>23</v>
      </c>
      <c r="F23" s="1" t="s">
        <v>149</v>
      </c>
      <c r="G23" s="1">
        <v>71</v>
      </c>
      <c r="H23" s="1">
        <v>3</v>
      </c>
      <c r="I23" s="1">
        <v>14986</v>
      </c>
      <c r="J23" s="1">
        <v>4</v>
      </c>
      <c r="K23" s="1">
        <v>5</v>
      </c>
      <c r="L23" s="1">
        <v>2</v>
      </c>
      <c r="M23" s="1" t="s">
        <v>147</v>
      </c>
      <c r="N23" s="1" t="s">
        <v>137</v>
      </c>
    </row>
    <row r="24" spans="2:14" x14ac:dyDescent="0.3">
      <c r="B24" s="1">
        <v>22</v>
      </c>
      <c r="C24" s="1">
        <v>1949587</v>
      </c>
      <c r="D24" t="s">
        <v>101</v>
      </c>
      <c r="E24" s="1">
        <v>34</v>
      </c>
      <c r="F24" s="1" t="s">
        <v>141</v>
      </c>
      <c r="G24" s="1">
        <v>22</v>
      </c>
      <c r="H24" s="1">
        <v>4</v>
      </c>
      <c r="I24" s="1">
        <v>6531</v>
      </c>
      <c r="J24" s="1">
        <v>9</v>
      </c>
      <c r="K24" s="1">
        <v>7</v>
      </c>
      <c r="L24" s="1">
        <v>6</v>
      </c>
      <c r="M24" s="1" t="s">
        <v>155</v>
      </c>
      <c r="N24" s="1" t="s">
        <v>137</v>
      </c>
    </row>
    <row r="25" spans="2:14" x14ac:dyDescent="0.3">
      <c r="B25" s="1">
        <v>23</v>
      </c>
      <c r="C25" s="1">
        <v>1951314</v>
      </c>
      <c r="D25" t="s">
        <v>102</v>
      </c>
      <c r="E25" s="1">
        <v>36</v>
      </c>
      <c r="F25" s="1" t="s">
        <v>141</v>
      </c>
      <c r="G25" s="1">
        <v>54</v>
      </c>
      <c r="H25" s="1">
        <v>2</v>
      </c>
      <c r="I25" s="1">
        <v>9576</v>
      </c>
      <c r="J25" s="1">
        <v>8</v>
      </c>
      <c r="K25" s="1">
        <v>29</v>
      </c>
      <c r="L25" s="1">
        <v>3</v>
      </c>
      <c r="M25" s="1" t="s">
        <v>155</v>
      </c>
      <c r="N25" s="1" t="s">
        <v>140</v>
      </c>
    </row>
    <row r="26" spans="2:14" x14ac:dyDescent="0.3">
      <c r="B26" s="1">
        <v>24</v>
      </c>
      <c r="C26" s="1">
        <v>1869212</v>
      </c>
      <c r="D26" t="s">
        <v>103</v>
      </c>
      <c r="E26" s="1">
        <v>27</v>
      </c>
      <c r="F26" s="1" t="s">
        <v>152</v>
      </c>
      <c r="G26" s="1">
        <v>27</v>
      </c>
      <c r="H26" s="1">
        <v>5</v>
      </c>
      <c r="I26" s="1">
        <v>9204</v>
      </c>
      <c r="J26" s="1">
        <v>6</v>
      </c>
      <c r="K26" s="1">
        <v>8</v>
      </c>
      <c r="L26" s="1">
        <v>4</v>
      </c>
      <c r="M26" s="1" t="s">
        <v>136</v>
      </c>
      <c r="N26" s="1" t="s">
        <v>140</v>
      </c>
    </row>
    <row r="27" spans="2:14" x14ac:dyDescent="0.3">
      <c r="B27" s="1">
        <v>25</v>
      </c>
      <c r="C27" s="1">
        <v>1859608</v>
      </c>
      <c r="D27" t="s">
        <v>104</v>
      </c>
      <c r="E27" s="1">
        <v>38</v>
      </c>
      <c r="F27" s="1" t="s">
        <v>135</v>
      </c>
      <c r="G27" s="1">
        <v>76</v>
      </c>
      <c r="H27" s="1">
        <v>1</v>
      </c>
      <c r="I27" s="1">
        <v>14235</v>
      </c>
      <c r="J27" s="1">
        <v>10</v>
      </c>
      <c r="K27" s="1">
        <v>14</v>
      </c>
      <c r="L27" s="1">
        <v>2</v>
      </c>
      <c r="M27" s="1" t="s">
        <v>142</v>
      </c>
      <c r="N27" s="1" t="s">
        <v>151</v>
      </c>
    </row>
    <row r="28" spans="2:14" x14ac:dyDescent="0.3">
      <c r="B28" s="1">
        <v>26</v>
      </c>
      <c r="C28" s="1">
        <v>1982913</v>
      </c>
      <c r="D28" t="s">
        <v>105</v>
      </c>
      <c r="E28" s="1">
        <v>55</v>
      </c>
      <c r="F28" s="1" t="s">
        <v>135</v>
      </c>
      <c r="G28" s="1">
        <v>82</v>
      </c>
      <c r="H28" s="1">
        <v>4</v>
      </c>
      <c r="I28" s="1">
        <v>9171</v>
      </c>
      <c r="J28" s="1">
        <v>0</v>
      </c>
      <c r="K28" s="1">
        <v>7</v>
      </c>
      <c r="L28" s="1">
        <v>5</v>
      </c>
      <c r="M28" s="1" t="s">
        <v>155</v>
      </c>
      <c r="N28" s="1" t="s">
        <v>143</v>
      </c>
    </row>
    <row r="29" spans="2:14" x14ac:dyDescent="0.3">
      <c r="B29" s="1">
        <v>27</v>
      </c>
      <c r="C29" s="1">
        <v>1971472</v>
      </c>
      <c r="D29" t="s">
        <v>106</v>
      </c>
      <c r="E29" s="1">
        <v>41</v>
      </c>
      <c r="F29" s="1" t="s">
        <v>149</v>
      </c>
      <c r="G29" s="1">
        <v>105</v>
      </c>
      <c r="H29" s="1">
        <v>5</v>
      </c>
      <c r="I29" s="1">
        <v>6084</v>
      </c>
      <c r="J29" s="1">
        <v>3</v>
      </c>
      <c r="K29" s="1">
        <v>17</v>
      </c>
      <c r="L29" s="1">
        <v>0</v>
      </c>
      <c r="M29" s="1" t="s">
        <v>144</v>
      </c>
      <c r="N29" s="1" t="s">
        <v>137</v>
      </c>
    </row>
    <row r="30" spans="2:14" x14ac:dyDescent="0.3">
      <c r="B30" s="1">
        <v>28</v>
      </c>
      <c r="C30" s="1">
        <v>1946648</v>
      </c>
      <c r="D30" t="s">
        <v>107</v>
      </c>
      <c r="E30" s="1">
        <v>42</v>
      </c>
      <c r="F30" s="1" t="s">
        <v>153</v>
      </c>
      <c r="G30" s="1">
        <v>107</v>
      </c>
      <c r="H30" s="1">
        <v>4</v>
      </c>
      <c r="I30" s="1">
        <v>8143</v>
      </c>
      <c r="J30" s="1">
        <v>6</v>
      </c>
      <c r="K30" s="1">
        <v>29</v>
      </c>
      <c r="L30" s="1">
        <v>1</v>
      </c>
      <c r="M30" s="1" t="s">
        <v>147</v>
      </c>
      <c r="N30" s="1" t="s">
        <v>140</v>
      </c>
    </row>
    <row r="31" spans="2:14" x14ac:dyDescent="0.3">
      <c r="B31" s="1">
        <v>29</v>
      </c>
      <c r="C31" s="1">
        <v>1945777</v>
      </c>
      <c r="D31" t="s">
        <v>108</v>
      </c>
      <c r="E31" s="1">
        <v>37</v>
      </c>
      <c r="F31" s="1" t="s">
        <v>146</v>
      </c>
      <c r="G31" s="1">
        <v>84</v>
      </c>
      <c r="H31" s="1">
        <v>5</v>
      </c>
      <c r="I31" s="1">
        <v>6268</v>
      </c>
      <c r="J31" s="1">
        <v>3</v>
      </c>
      <c r="K31" s="1">
        <v>30</v>
      </c>
      <c r="L31" s="1">
        <v>2</v>
      </c>
      <c r="M31" s="1" t="s">
        <v>136</v>
      </c>
      <c r="N31" s="1" t="s">
        <v>140</v>
      </c>
    </row>
    <row r="32" spans="2:14" x14ac:dyDescent="0.3">
      <c r="B32" s="1">
        <v>30</v>
      </c>
      <c r="C32" s="1">
        <v>1840214</v>
      </c>
      <c r="D32" t="s">
        <v>109</v>
      </c>
      <c r="E32" s="1">
        <v>53</v>
      </c>
      <c r="F32" s="1" t="s">
        <v>149</v>
      </c>
      <c r="G32" s="1">
        <v>6</v>
      </c>
      <c r="H32" s="1">
        <v>1</v>
      </c>
      <c r="I32" s="1">
        <v>3267</v>
      </c>
      <c r="J32" s="1">
        <v>9</v>
      </c>
      <c r="K32" s="1">
        <v>23</v>
      </c>
      <c r="L32" s="1">
        <v>6</v>
      </c>
      <c r="M32" s="1" t="s">
        <v>144</v>
      </c>
      <c r="N32" s="1" t="s">
        <v>140</v>
      </c>
    </row>
    <row r="33" spans="2:14" x14ac:dyDescent="0.3">
      <c r="B33" s="1">
        <v>31</v>
      </c>
      <c r="C33" s="1">
        <v>1961925</v>
      </c>
      <c r="D33" t="s">
        <v>110</v>
      </c>
      <c r="E33" s="1">
        <v>54</v>
      </c>
      <c r="F33" s="1" t="s">
        <v>150</v>
      </c>
      <c r="G33" s="1">
        <v>100</v>
      </c>
      <c r="H33" s="1">
        <v>0</v>
      </c>
      <c r="I33" s="1">
        <v>6537</v>
      </c>
      <c r="J33" s="1">
        <v>6</v>
      </c>
      <c r="K33" s="1">
        <v>13</v>
      </c>
      <c r="L33" s="1">
        <v>5</v>
      </c>
      <c r="M33" s="1" t="s">
        <v>142</v>
      </c>
      <c r="N33" s="1" t="s">
        <v>148</v>
      </c>
    </row>
    <row r="34" spans="2:14" x14ac:dyDescent="0.3">
      <c r="B34" s="1">
        <v>32</v>
      </c>
      <c r="C34" s="1">
        <v>1731232</v>
      </c>
      <c r="D34" t="s">
        <v>111</v>
      </c>
      <c r="E34" s="1">
        <v>28</v>
      </c>
      <c r="F34" s="1" t="s">
        <v>149</v>
      </c>
      <c r="G34" s="1">
        <v>13</v>
      </c>
      <c r="H34" s="1">
        <v>4</v>
      </c>
      <c r="I34" s="1">
        <v>11412</v>
      </c>
      <c r="J34" s="1">
        <v>1</v>
      </c>
      <c r="K34" s="1">
        <v>16</v>
      </c>
      <c r="L34" s="1">
        <v>5</v>
      </c>
      <c r="M34" s="1" t="s">
        <v>157</v>
      </c>
      <c r="N34" s="1" t="s">
        <v>160</v>
      </c>
    </row>
    <row r="35" spans="2:14" x14ac:dyDescent="0.3">
      <c r="B35" s="1">
        <v>33</v>
      </c>
      <c r="C35" s="1">
        <v>1591414</v>
      </c>
      <c r="D35" t="s">
        <v>112</v>
      </c>
      <c r="E35" s="1">
        <v>39</v>
      </c>
      <c r="F35" s="1" t="s">
        <v>135</v>
      </c>
      <c r="G35" s="1">
        <v>5</v>
      </c>
      <c r="H35" s="1">
        <v>1</v>
      </c>
      <c r="I35" s="1">
        <v>10815</v>
      </c>
      <c r="J35" s="1">
        <v>8</v>
      </c>
      <c r="K35" s="1">
        <v>23</v>
      </c>
      <c r="L35" s="1">
        <v>7</v>
      </c>
      <c r="M35" s="1" t="s">
        <v>155</v>
      </c>
      <c r="N35" s="1" t="s">
        <v>145</v>
      </c>
    </row>
    <row r="36" spans="2:14" x14ac:dyDescent="0.3">
      <c r="B36" s="1">
        <v>34</v>
      </c>
      <c r="C36" s="1">
        <v>1959441</v>
      </c>
      <c r="D36" t="s">
        <v>113</v>
      </c>
      <c r="E36" s="1">
        <v>60</v>
      </c>
      <c r="F36" s="1" t="s">
        <v>159</v>
      </c>
      <c r="G36" s="1">
        <v>131</v>
      </c>
      <c r="H36" s="1">
        <v>3</v>
      </c>
      <c r="I36" s="1">
        <v>10060</v>
      </c>
      <c r="J36" s="1">
        <v>9</v>
      </c>
      <c r="K36" s="1">
        <v>0</v>
      </c>
      <c r="L36" s="1">
        <v>1</v>
      </c>
      <c r="M36" s="1" t="s">
        <v>139</v>
      </c>
      <c r="N36" s="1" t="s">
        <v>148</v>
      </c>
    </row>
    <row r="37" spans="2:14" x14ac:dyDescent="0.3">
      <c r="B37" s="1">
        <v>35</v>
      </c>
      <c r="C37" s="1">
        <v>1960798</v>
      </c>
      <c r="D37" t="s">
        <v>114</v>
      </c>
      <c r="E37" s="1">
        <v>30</v>
      </c>
      <c r="F37" s="1" t="s">
        <v>161</v>
      </c>
      <c r="G37" s="1">
        <v>100</v>
      </c>
      <c r="H37" s="1">
        <v>5</v>
      </c>
      <c r="I37" s="1">
        <v>4299</v>
      </c>
      <c r="J37" s="1">
        <v>4</v>
      </c>
      <c r="K37" s="1">
        <v>2</v>
      </c>
      <c r="L37" s="1">
        <v>1</v>
      </c>
      <c r="M37" s="1" t="s">
        <v>139</v>
      </c>
      <c r="N37" s="1" t="s">
        <v>151</v>
      </c>
    </row>
    <row r="38" spans="2:14" x14ac:dyDescent="0.3">
      <c r="B38" s="1">
        <v>36</v>
      </c>
      <c r="C38" s="1">
        <v>1955747</v>
      </c>
      <c r="D38" t="s">
        <v>115</v>
      </c>
      <c r="E38" s="1">
        <v>59</v>
      </c>
      <c r="F38" s="1" t="s">
        <v>152</v>
      </c>
      <c r="G38" s="1">
        <v>143</v>
      </c>
      <c r="H38" s="1">
        <v>1</v>
      </c>
      <c r="I38" s="1">
        <v>13324</v>
      </c>
      <c r="J38" s="1">
        <v>5</v>
      </c>
      <c r="K38" s="1">
        <v>20</v>
      </c>
      <c r="L38" s="1">
        <v>4</v>
      </c>
      <c r="M38" s="1" t="s">
        <v>142</v>
      </c>
      <c r="N38" s="1" t="s">
        <v>143</v>
      </c>
    </row>
    <row r="39" spans="2:14" x14ac:dyDescent="0.3">
      <c r="B39" s="1">
        <v>37</v>
      </c>
      <c r="C39" s="1">
        <v>1951847</v>
      </c>
      <c r="D39" t="s">
        <v>116</v>
      </c>
      <c r="E39" s="1">
        <v>27</v>
      </c>
      <c r="F39" s="1" t="s">
        <v>138</v>
      </c>
      <c r="G39" s="1">
        <v>52</v>
      </c>
      <c r="H39" s="1">
        <v>0</v>
      </c>
      <c r="I39" s="1">
        <v>3561</v>
      </c>
      <c r="J39" s="1">
        <v>3</v>
      </c>
      <c r="K39" s="1">
        <v>29</v>
      </c>
      <c r="L39" s="1">
        <v>1</v>
      </c>
      <c r="M39" s="1" t="s">
        <v>157</v>
      </c>
      <c r="N39" s="1" t="s">
        <v>151</v>
      </c>
    </row>
    <row r="40" spans="2:14" x14ac:dyDescent="0.3">
      <c r="B40" s="1">
        <v>38</v>
      </c>
      <c r="C40" s="1">
        <v>1951276</v>
      </c>
      <c r="D40" t="s">
        <v>117</v>
      </c>
      <c r="E40" s="1">
        <v>52</v>
      </c>
      <c r="F40" s="1" t="s">
        <v>153</v>
      </c>
      <c r="G40" s="1">
        <v>140</v>
      </c>
      <c r="H40" s="1">
        <v>0</v>
      </c>
      <c r="I40" s="1">
        <v>3276</v>
      </c>
      <c r="J40" s="1">
        <v>8</v>
      </c>
      <c r="K40" s="1">
        <v>8</v>
      </c>
      <c r="L40" s="1">
        <v>6</v>
      </c>
      <c r="M40" s="1" t="s">
        <v>157</v>
      </c>
      <c r="N40" s="1" t="s">
        <v>148</v>
      </c>
    </row>
    <row r="41" spans="2:14" x14ac:dyDescent="0.3">
      <c r="B41" s="1">
        <v>39</v>
      </c>
      <c r="C41" s="1">
        <v>2079084</v>
      </c>
      <c r="D41" t="s">
        <v>118</v>
      </c>
      <c r="E41" s="1">
        <v>18</v>
      </c>
      <c r="F41" s="1" t="s">
        <v>146</v>
      </c>
      <c r="G41" s="1">
        <v>75</v>
      </c>
      <c r="H41" s="1">
        <v>1</v>
      </c>
      <c r="I41" s="1">
        <v>9625</v>
      </c>
      <c r="J41" s="1">
        <v>0</v>
      </c>
      <c r="K41" s="1">
        <v>23</v>
      </c>
      <c r="L41" s="1">
        <v>1</v>
      </c>
      <c r="M41" s="1" t="s">
        <v>155</v>
      </c>
      <c r="N41" s="1" t="s">
        <v>162</v>
      </c>
    </row>
    <row r="42" spans="2:14" x14ac:dyDescent="0.3">
      <c r="B42" s="1">
        <v>40</v>
      </c>
      <c r="C42" s="1">
        <v>1956121</v>
      </c>
      <c r="D42" t="s">
        <v>119</v>
      </c>
      <c r="E42" s="1">
        <v>31</v>
      </c>
      <c r="F42" s="1" t="s">
        <v>149</v>
      </c>
      <c r="G42" s="1">
        <v>126</v>
      </c>
      <c r="H42" s="1">
        <v>1</v>
      </c>
      <c r="I42" s="1">
        <v>10735</v>
      </c>
      <c r="J42" s="1">
        <v>1</v>
      </c>
      <c r="K42" s="1">
        <v>0</v>
      </c>
      <c r="L42" s="1">
        <v>7</v>
      </c>
      <c r="M42" s="1" t="s">
        <v>155</v>
      </c>
      <c r="N42" s="1" t="s">
        <v>137</v>
      </c>
    </row>
    <row r="43" spans="2:14" x14ac:dyDescent="0.3">
      <c r="B43" s="1">
        <v>41</v>
      </c>
      <c r="C43" s="1">
        <v>1969650</v>
      </c>
      <c r="D43" t="s">
        <v>120</v>
      </c>
      <c r="E43" s="1">
        <v>59</v>
      </c>
      <c r="F43" s="1" t="s">
        <v>149</v>
      </c>
      <c r="G43" s="1">
        <v>19</v>
      </c>
      <c r="H43" s="1">
        <v>4</v>
      </c>
      <c r="I43" s="1">
        <v>5789</v>
      </c>
      <c r="J43" s="1">
        <v>4</v>
      </c>
      <c r="K43" s="1">
        <v>27</v>
      </c>
      <c r="L43" s="1">
        <v>6</v>
      </c>
      <c r="M43" s="1" t="s">
        <v>155</v>
      </c>
      <c r="N43" s="1" t="s">
        <v>151</v>
      </c>
    </row>
    <row r="44" spans="2:14" x14ac:dyDescent="0.3">
      <c r="B44" s="1">
        <v>42</v>
      </c>
      <c r="C44" s="1">
        <v>1966592</v>
      </c>
      <c r="D44" t="s">
        <v>121</v>
      </c>
      <c r="E44" s="1">
        <v>45</v>
      </c>
      <c r="F44" s="1" t="s">
        <v>159</v>
      </c>
      <c r="G44" s="1">
        <v>78</v>
      </c>
      <c r="H44" s="1">
        <v>3</v>
      </c>
      <c r="I44" s="1">
        <v>7033</v>
      </c>
      <c r="J44" s="1">
        <v>6</v>
      </c>
      <c r="K44" s="1">
        <v>12</v>
      </c>
      <c r="L44" s="1">
        <v>2</v>
      </c>
      <c r="M44" s="1" t="s">
        <v>157</v>
      </c>
      <c r="N44" s="1" t="s">
        <v>145</v>
      </c>
    </row>
    <row r="45" spans="2:14" x14ac:dyDescent="0.3">
      <c r="B45" s="1">
        <v>43</v>
      </c>
      <c r="C45" s="1">
        <v>1870014</v>
      </c>
      <c r="D45" t="s">
        <v>122</v>
      </c>
      <c r="E45" s="1">
        <v>57</v>
      </c>
      <c r="F45" s="1" t="s">
        <v>141</v>
      </c>
      <c r="G45" s="1">
        <v>136</v>
      </c>
      <c r="H45" s="1">
        <v>3</v>
      </c>
      <c r="I45" s="1">
        <v>10384</v>
      </c>
      <c r="J45" s="1">
        <v>2</v>
      </c>
      <c r="K45" s="1">
        <v>18</v>
      </c>
      <c r="L45" s="1">
        <v>3</v>
      </c>
      <c r="M45" s="1" t="s">
        <v>147</v>
      </c>
      <c r="N45" s="1" t="s">
        <v>151</v>
      </c>
    </row>
    <row r="46" spans="2:14" x14ac:dyDescent="0.3">
      <c r="B46" s="1">
        <v>44</v>
      </c>
      <c r="C46" s="1">
        <v>1971805</v>
      </c>
      <c r="D46" t="s">
        <v>123</v>
      </c>
      <c r="E46" s="1">
        <v>51</v>
      </c>
      <c r="F46" s="1" t="s">
        <v>141</v>
      </c>
      <c r="G46" s="1">
        <v>143</v>
      </c>
      <c r="H46" s="1">
        <v>0</v>
      </c>
      <c r="I46" s="1">
        <v>9049</v>
      </c>
      <c r="J46" s="1">
        <v>3</v>
      </c>
      <c r="K46" s="1">
        <v>5</v>
      </c>
      <c r="L46" s="1">
        <v>4</v>
      </c>
      <c r="M46" s="1" t="s">
        <v>157</v>
      </c>
      <c r="N46" s="1" t="s">
        <v>140</v>
      </c>
    </row>
    <row r="47" spans="2:14" x14ac:dyDescent="0.3">
      <c r="B47" s="1">
        <v>45</v>
      </c>
      <c r="C47" s="1">
        <v>1959417</v>
      </c>
      <c r="D47" t="s">
        <v>124</v>
      </c>
      <c r="E47" s="1">
        <v>25</v>
      </c>
      <c r="F47" s="1" t="s">
        <v>153</v>
      </c>
      <c r="G47" s="1">
        <v>115</v>
      </c>
      <c r="H47" s="1">
        <v>4</v>
      </c>
      <c r="I47" s="1">
        <v>10491</v>
      </c>
      <c r="J47" s="1">
        <v>1</v>
      </c>
      <c r="K47" s="1">
        <v>30</v>
      </c>
      <c r="L47" s="1">
        <v>5</v>
      </c>
      <c r="M47" s="1" t="s">
        <v>142</v>
      </c>
      <c r="N47" s="1" t="s">
        <v>140</v>
      </c>
    </row>
    <row r="48" spans="2:14" x14ac:dyDescent="0.3">
      <c r="B48" s="1">
        <v>46</v>
      </c>
      <c r="C48" s="1">
        <v>1915440</v>
      </c>
      <c r="D48" t="s">
        <v>125</v>
      </c>
      <c r="E48" s="1">
        <v>19</v>
      </c>
      <c r="F48" s="1" t="s">
        <v>138</v>
      </c>
      <c r="G48" s="1">
        <v>75</v>
      </c>
      <c r="H48" s="1">
        <v>4</v>
      </c>
      <c r="I48" s="1">
        <v>7373</v>
      </c>
      <c r="J48" s="1">
        <v>9</v>
      </c>
      <c r="K48" s="1">
        <v>26</v>
      </c>
      <c r="L48" s="1">
        <v>4</v>
      </c>
      <c r="M48" s="1" t="s">
        <v>155</v>
      </c>
      <c r="N48" s="1" t="s">
        <v>140</v>
      </c>
    </row>
    <row r="49" spans="2:14" x14ac:dyDescent="0.3">
      <c r="B49" s="1">
        <v>47</v>
      </c>
      <c r="C49" s="1">
        <v>2079609</v>
      </c>
      <c r="D49" t="s">
        <v>126</v>
      </c>
      <c r="E49" s="1">
        <v>23</v>
      </c>
      <c r="F49" s="1" t="s">
        <v>152</v>
      </c>
      <c r="G49" s="1">
        <v>94</v>
      </c>
      <c r="H49" s="1">
        <v>3</v>
      </c>
      <c r="I49" s="1">
        <v>7224</v>
      </c>
      <c r="J49" s="1">
        <v>8</v>
      </c>
      <c r="K49" s="1">
        <v>7</v>
      </c>
      <c r="L49" s="1">
        <v>1</v>
      </c>
      <c r="M49" s="1" t="s">
        <v>155</v>
      </c>
      <c r="N49" s="1" t="s">
        <v>148</v>
      </c>
    </row>
    <row r="50" spans="2:14" x14ac:dyDescent="0.3">
      <c r="B50" s="1">
        <v>48</v>
      </c>
      <c r="C50" s="1">
        <v>1967787</v>
      </c>
      <c r="D50" t="s">
        <v>127</v>
      </c>
      <c r="E50" s="1">
        <v>50</v>
      </c>
      <c r="F50" s="1" t="s">
        <v>163</v>
      </c>
      <c r="G50" s="1">
        <v>49</v>
      </c>
      <c r="H50" s="1">
        <v>3</v>
      </c>
      <c r="I50" s="1">
        <v>12487</v>
      </c>
      <c r="J50" s="1">
        <v>0</v>
      </c>
      <c r="K50" s="1">
        <v>25</v>
      </c>
      <c r="L50" s="1">
        <v>0</v>
      </c>
      <c r="M50" s="1" t="s">
        <v>157</v>
      </c>
      <c r="N50" s="1" t="s">
        <v>143</v>
      </c>
    </row>
    <row r="51" spans="2:14" x14ac:dyDescent="0.3">
      <c r="B51" s="1">
        <v>49</v>
      </c>
      <c r="C51" s="1">
        <v>1946786</v>
      </c>
      <c r="D51" t="s">
        <v>128</v>
      </c>
      <c r="E51" s="1">
        <v>35</v>
      </c>
      <c r="F51" s="1" t="s">
        <v>161</v>
      </c>
      <c r="G51" s="1">
        <v>105</v>
      </c>
      <c r="H51" s="1">
        <v>0</v>
      </c>
      <c r="I51" s="1">
        <v>3314</v>
      </c>
      <c r="J51" s="1">
        <v>2</v>
      </c>
      <c r="K51" s="1">
        <v>25</v>
      </c>
      <c r="L51" s="1">
        <v>4</v>
      </c>
      <c r="M51" s="1" t="s">
        <v>142</v>
      </c>
      <c r="N51" s="1" t="s">
        <v>148</v>
      </c>
    </row>
    <row r="52" spans="2:14" x14ac:dyDescent="0.3">
      <c r="B52" s="1">
        <v>50</v>
      </c>
      <c r="C52" s="1">
        <v>1962176</v>
      </c>
      <c r="D52" t="s">
        <v>129</v>
      </c>
      <c r="E52" s="1">
        <v>51</v>
      </c>
      <c r="F52" s="1" t="s">
        <v>154</v>
      </c>
      <c r="G52" s="1">
        <v>24</v>
      </c>
      <c r="H52" s="1">
        <v>4</v>
      </c>
      <c r="I52" s="1">
        <v>6116</v>
      </c>
      <c r="J52" s="1">
        <v>7</v>
      </c>
      <c r="K52" s="1">
        <v>19</v>
      </c>
      <c r="L52" s="1">
        <v>6</v>
      </c>
      <c r="M52" s="1" t="s">
        <v>155</v>
      </c>
      <c r="N52" s="1" t="s">
        <v>145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M42"/>
  <sheetViews>
    <sheetView topLeftCell="A4" zoomScale="196" zoomScaleNormal="196" workbookViewId="0">
      <selection activeCell="N14" sqref="N14"/>
    </sheetView>
  </sheetViews>
  <sheetFormatPr defaultColWidth="11.44140625" defaultRowHeight="14.4" x14ac:dyDescent="0.3"/>
  <sheetData>
    <row r="1" spans="1:7" ht="36" customHeight="1" thickBot="1" x14ac:dyDescent="0.45">
      <c r="A1" s="34" t="s">
        <v>46</v>
      </c>
    </row>
    <row r="2" spans="1:7" ht="31.8" thickBot="1" x14ac:dyDescent="0.35">
      <c r="B2" s="46" t="s">
        <v>47</v>
      </c>
      <c r="C2" s="47" t="s">
        <v>48</v>
      </c>
      <c r="D2" s="47" t="s">
        <v>49</v>
      </c>
      <c r="E2" s="47" t="s">
        <v>50</v>
      </c>
      <c r="F2" s="47" t="s">
        <v>51</v>
      </c>
      <c r="G2" s="39"/>
    </row>
    <row r="3" spans="1:7" ht="16.2" thickBot="1" x14ac:dyDescent="0.35">
      <c r="B3" s="48">
        <v>1</v>
      </c>
      <c r="C3" s="49">
        <v>5.0999999999999996</v>
      </c>
      <c r="D3" s="49">
        <v>3.5</v>
      </c>
      <c r="E3" s="49">
        <v>1.4</v>
      </c>
      <c r="F3" s="49">
        <v>0.2</v>
      </c>
      <c r="G3" s="2">
        <v>3</v>
      </c>
    </row>
    <row r="4" spans="1:7" ht="16.2" thickBot="1" x14ac:dyDescent="0.35">
      <c r="B4" s="48">
        <v>2</v>
      </c>
      <c r="C4" s="49">
        <v>4.9000000000000004</v>
      </c>
      <c r="D4" s="49">
        <v>3</v>
      </c>
      <c r="E4" s="49">
        <v>1.4</v>
      </c>
      <c r="F4" s="49">
        <v>0.2</v>
      </c>
      <c r="G4" s="2">
        <v>3</v>
      </c>
    </row>
    <row r="5" spans="1:7" ht="16.2" hidden="1" thickBot="1" x14ac:dyDescent="0.35">
      <c r="B5" s="52">
        <v>3</v>
      </c>
      <c r="C5" s="53">
        <v>7</v>
      </c>
      <c r="D5" s="53">
        <v>3.2</v>
      </c>
      <c r="E5" s="53">
        <v>4.7</v>
      </c>
      <c r="F5" s="53">
        <v>1.4</v>
      </c>
      <c r="G5" s="2">
        <v>1</v>
      </c>
    </row>
    <row r="6" spans="1:7" ht="16.2" hidden="1" thickBot="1" x14ac:dyDescent="0.35">
      <c r="B6" s="48">
        <v>4</v>
      </c>
      <c r="C6" s="49">
        <v>6.4</v>
      </c>
      <c r="D6" s="49">
        <v>3.2</v>
      </c>
      <c r="E6" s="49">
        <v>4.5</v>
      </c>
      <c r="F6" s="49">
        <v>1.5</v>
      </c>
      <c r="G6" s="2">
        <v>1</v>
      </c>
    </row>
    <row r="7" spans="1:7" ht="16.2" hidden="1" thickBot="1" x14ac:dyDescent="0.35">
      <c r="B7" s="48">
        <v>5</v>
      </c>
      <c r="C7" s="49">
        <v>6.3</v>
      </c>
      <c r="D7" s="49">
        <v>3.3</v>
      </c>
      <c r="E7" s="49">
        <v>6</v>
      </c>
      <c r="F7" s="49">
        <v>2.5</v>
      </c>
      <c r="G7" s="2">
        <v>1</v>
      </c>
    </row>
    <row r="8" spans="1:7" ht="16.2" hidden="1" thickBot="1" x14ac:dyDescent="0.35">
      <c r="B8" s="48">
        <v>6</v>
      </c>
      <c r="C8" s="50">
        <v>5.8</v>
      </c>
      <c r="D8" s="50">
        <v>2.7</v>
      </c>
      <c r="E8" s="50">
        <v>5.0999999999999996</v>
      </c>
      <c r="F8" s="50">
        <v>1.9</v>
      </c>
      <c r="G8" s="2">
        <v>1</v>
      </c>
    </row>
    <row r="9" spans="1:7" ht="16.2" hidden="1" thickBot="1" x14ac:dyDescent="0.35">
      <c r="B9" s="54">
        <v>7</v>
      </c>
      <c r="C9" s="55">
        <v>3.5</v>
      </c>
      <c r="D9" s="55">
        <v>3.1</v>
      </c>
      <c r="E9" s="55">
        <v>3.2</v>
      </c>
      <c r="F9" s="56">
        <v>1.3</v>
      </c>
      <c r="G9" s="2">
        <v>2</v>
      </c>
    </row>
    <row r="10" spans="1:7" ht="16.2" hidden="1" thickBot="1" x14ac:dyDescent="0.35">
      <c r="B10" s="51">
        <v>8</v>
      </c>
      <c r="C10" s="14">
        <v>6.9</v>
      </c>
      <c r="D10" s="14">
        <v>2.9</v>
      </c>
      <c r="E10" s="14">
        <v>5.5</v>
      </c>
      <c r="F10" s="16">
        <v>1.3</v>
      </c>
      <c r="G10" s="2">
        <v>1</v>
      </c>
    </row>
    <row r="11" spans="1:7" ht="16.2" hidden="1" thickBot="1" x14ac:dyDescent="0.35">
      <c r="B11" s="51">
        <v>9</v>
      </c>
      <c r="C11" s="14">
        <v>4.2</v>
      </c>
      <c r="D11" s="14">
        <v>3.4</v>
      </c>
      <c r="E11" s="14">
        <v>1.8</v>
      </c>
      <c r="F11" s="16">
        <v>1.2</v>
      </c>
      <c r="G11" s="2">
        <v>2</v>
      </c>
    </row>
    <row r="12" spans="1:7" ht="16.2" thickBot="1" x14ac:dyDescent="0.35">
      <c r="B12" s="54">
        <v>10</v>
      </c>
      <c r="C12" s="57">
        <v>5.7</v>
      </c>
      <c r="D12" s="57">
        <v>3.2</v>
      </c>
      <c r="E12" s="57">
        <v>2.5</v>
      </c>
      <c r="F12" s="58">
        <v>0.8</v>
      </c>
      <c r="G12" s="2">
        <v>3</v>
      </c>
    </row>
    <row r="15" spans="1:7" x14ac:dyDescent="0.3">
      <c r="A15" s="18" t="s">
        <v>53</v>
      </c>
      <c r="C15" s="3"/>
      <c r="D15" t="s">
        <v>164</v>
      </c>
    </row>
    <row r="17" spans="1:13" x14ac:dyDescent="0.3">
      <c r="A17" s="18" t="s">
        <v>55</v>
      </c>
    </row>
    <row r="18" spans="1:13" ht="16.2" thickBot="1" x14ac:dyDescent="0.35">
      <c r="B18" t="s">
        <v>56</v>
      </c>
      <c r="C18" s="53">
        <v>7</v>
      </c>
      <c r="D18" s="53">
        <v>3.2</v>
      </c>
      <c r="E18" s="53">
        <v>4.7</v>
      </c>
      <c r="F18" s="53">
        <v>1.4</v>
      </c>
    </row>
    <row r="19" spans="1:13" ht="15" thickBot="1" x14ac:dyDescent="0.35">
      <c r="B19" t="s">
        <v>57</v>
      </c>
      <c r="C19" s="55">
        <v>3.5</v>
      </c>
      <c r="D19" s="55">
        <v>3.1</v>
      </c>
      <c r="E19" s="55">
        <v>3.2</v>
      </c>
      <c r="F19" s="56">
        <v>1.3</v>
      </c>
    </row>
    <row r="20" spans="1:13" ht="15" thickBot="1" x14ac:dyDescent="0.35">
      <c r="B20" t="s">
        <v>165</v>
      </c>
      <c r="C20" s="57">
        <v>5.7</v>
      </c>
      <c r="D20" s="57">
        <v>3.2</v>
      </c>
      <c r="E20" s="57">
        <v>2.5</v>
      </c>
      <c r="F20" s="58">
        <v>0.8</v>
      </c>
    </row>
    <row r="22" spans="1:13" x14ac:dyDescent="0.3">
      <c r="A22" s="18" t="s">
        <v>58</v>
      </c>
      <c r="H22" s="18" t="s">
        <v>59</v>
      </c>
      <c r="J22" s="18" t="s">
        <v>60</v>
      </c>
    </row>
    <row r="23" spans="1:13" x14ac:dyDescent="0.3">
      <c r="C23" s="38" t="s">
        <v>56</v>
      </c>
      <c r="D23" s="38" t="s">
        <v>61</v>
      </c>
      <c r="E23" s="38" t="s">
        <v>165</v>
      </c>
      <c r="G23" s="2" t="s">
        <v>62</v>
      </c>
      <c r="M23" s="2" t="s">
        <v>63</v>
      </c>
    </row>
    <row r="24" spans="1:13" x14ac:dyDescent="0.3">
      <c r="B24" s="3">
        <v>1</v>
      </c>
      <c r="C24" s="2">
        <f>ABS($C$36-C3)+ABS($D$36-D3)+ABS($E$36-E3)+ABS($F$36-F3)</f>
        <v>7.1000000000000005</v>
      </c>
      <c r="D24" s="2">
        <f>ABS($C$37-C3)+ABS($D$37-D3)+ABS($E$37-E3)+ABS($F$37-F3)</f>
        <v>3.6499999999999995</v>
      </c>
      <c r="E24" s="60">
        <f>ABS($C$38-C3)+ABS($D$38-D3)+ABS($E$38-E3)+ABS($F$38-F3)</f>
        <v>0.96666666666666756</v>
      </c>
      <c r="G24" s="2">
        <f>MIN(C24:E24)</f>
        <v>0.96666666666666756</v>
      </c>
      <c r="H24" s="2">
        <f>IF(G24=C24,1,IF(G24=D24,2,3))</f>
        <v>3</v>
      </c>
      <c r="J24" s="2">
        <v>3</v>
      </c>
      <c r="K24" s="2">
        <v>3</v>
      </c>
      <c r="M24" t="str">
        <f>IF(J24=K24,"IGUALES","DIFERENTES")</f>
        <v>IGUALES</v>
      </c>
    </row>
    <row r="25" spans="1:13" x14ac:dyDescent="0.3">
      <c r="B25" s="3">
        <v>2</v>
      </c>
      <c r="C25" s="2">
        <f t="shared" ref="C25:C33" si="0">ABS($C$36-C4)+ABS($D$36-D4)+ABS($E$36-E4)+ABS($F$36-F4)</f>
        <v>6.919999999999999</v>
      </c>
      <c r="D25" s="2">
        <f t="shared" ref="D25:D33" si="1">ABS($C$37-C4)+ABS($D$37-D4)+ABS($E$37-E4)+ABS($F$37-F4)</f>
        <v>3.45</v>
      </c>
      <c r="E25" s="60">
        <f t="shared" ref="E25:E33" si="2">ABS($C$38-C4)+ABS($D$38-D4)+ABS($E$38-E4)+ABS($F$38-F4)</f>
        <v>1.1333333333333329</v>
      </c>
      <c r="G25" s="2">
        <f t="shared" ref="G25:G33" si="3">MIN(C25:E25)</f>
        <v>1.1333333333333329</v>
      </c>
      <c r="H25" s="2">
        <f t="shared" ref="H25:H33" si="4">IF(G25=C25,1,IF(G25=D25,2,3))</f>
        <v>3</v>
      </c>
      <c r="J25" s="2">
        <v>3</v>
      </c>
      <c r="K25" s="2">
        <v>3</v>
      </c>
      <c r="M25" t="str">
        <f t="shared" ref="M25:M33" si="5">IF(J25=K25,"IGUALES","DIFERENTES")</f>
        <v>IGUALES</v>
      </c>
    </row>
    <row r="26" spans="1:13" x14ac:dyDescent="0.3">
      <c r="B26" s="3">
        <v>3</v>
      </c>
      <c r="C26" s="2">
        <f t="shared" si="0"/>
        <v>1.4400000000000004</v>
      </c>
      <c r="D26" s="2">
        <f t="shared" si="1"/>
        <v>5.5500000000000007</v>
      </c>
      <c r="E26" s="60">
        <f t="shared" si="2"/>
        <v>5.7333333333333325</v>
      </c>
      <c r="G26" s="2">
        <f t="shared" si="3"/>
        <v>1.4400000000000004</v>
      </c>
      <c r="H26" s="2">
        <f t="shared" si="4"/>
        <v>1</v>
      </c>
      <c r="J26" s="2">
        <v>1</v>
      </c>
      <c r="K26" s="2">
        <v>1</v>
      </c>
      <c r="M26" t="str">
        <f t="shared" si="5"/>
        <v>IGUALES</v>
      </c>
    </row>
    <row r="27" spans="1:13" x14ac:dyDescent="0.3">
      <c r="B27" s="3">
        <v>4</v>
      </c>
      <c r="C27" s="2">
        <f t="shared" si="0"/>
        <v>1.0999999999999992</v>
      </c>
      <c r="D27" s="2">
        <f t="shared" si="1"/>
        <v>4.8499999999999996</v>
      </c>
      <c r="E27" s="60">
        <f t="shared" si="2"/>
        <v>5.0333333333333332</v>
      </c>
      <c r="G27" s="2">
        <f t="shared" si="3"/>
        <v>1.0999999999999992</v>
      </c>
      <c r="H27" s="2">
        <f t="shared" si="4"/>
        <v>1</v>
      </c>
      <c r="J27" s="2">
        <v>1</v>
      </c>
      <c r="K27" s="2">
        <v>1</v>
      </c>
      <c r="M27" t="str">
        <f t="shared" si="5"/>
        <v>IGUALES</v>
      </c>
    </row>
    <row r="28" spans="1:13" x14ac:dyDescent="0.3">
      <c r="B28" s="3">
        <v>5</v>
      </c>
      <c r="C28" s="2">
        <f t="shared" si="0"/>
        <v>2.0400000000000005</v>
      </c>
      <c r="D28" s="2">
        <f t="shared" si="1"/>
        <v>7.25</v>
      </c>
      <c r="E28" s="60">
        <f t="shared" si="2"/>
        <v>7.4666666666666668</v>
      </c>
      <c r="G28" s="2">
        <f t="shared" si="3"/>
        <v>2.0400000000000005</v>
      </c>
      <c r="H28" s="2">
        <f t="shared" si="4"/>
        <v>1</v>
      </c>
      <c r="J28" s="2">
        <v>1</v>
      </c>
      <c r="K28" s="2">
        <v>1</v>
      </c>
      <c r="M28" t="str">
        <f t="shared" si="5"/>
        <v>IGUALES</v>
      </c>
    </row>
    <row r="29" spans="1:13" x14ac:dyDescent="0.3">
      <c r="B29" s="3">
        <v>6</v>
      </c>
      <c r="C29" s="2">
        <f t="shared" si="0"/>
        <v>1.2799999999999985</v>
      </c>
      <c r="D29" s="2">
        <f t="shared" si="1"/>
        <v>5.75</v>
      </c>
      <c r="E29" s="60">
        <f t="shared" si="2"/>
        <v>5.9333333333333318</v>
      </c>
      <c r="G29" s="2">
        <f t="shared" si="3"/>
        <v>1.2799999999999985</v>
      </c>
      <c r="H29" s="2">
        <f t="shared" si="4"/>
        <v>1</v>
      </c>
      <c r="J29" s="2">
        <v>1</v>
      </c>
      <c r="K29" s="2">
        <v>1</v>
      </c>
      <c r="M29" t="str">
        <f t="shared" si="5"/>
        <v>IGUALES</v>
      </c>
    </row>
    <row r="30" spans="1:13" x14ac:dyDescent="0.3">
      <c r="B30" s="3">
        <v>7</v>
      </c>
      <c r="C30" s="2">
        <f t="shared" si="0"/>
        <v>5.3999999999999986</v>
      </c>
      <c r="D30" s="2">
        <f t="shared" si="1"/>
        <v>1.2500000000000002</v>
      </c>
      <c r="E30" s="60">
        <f t="shared" si="2"/>
        <v>4.1999999999999993</v>
      </c>
      <c r="G30" s="2">
        <f t="shared" si="3"/>
        <v>1.2500000000000002</v>
      </c>
      <c r="H30" s="2">
        <f t="shared" si="4"/>
        <v>2</v>
      </c>
      <c r="J30" s="2">
        <v>2</v>
      </c>
      <c r="K30" s="2">
        <v>2</v>
      </c>
      <c r="M30" t="str">
        <f t="shared" si="5"/>
        <v>IGUALES</v>
      </c>
    </row>
    <row r="31" spans="1:13" x14ac:dyDescent="0.3">
      <c r="B31" s="3">
        <v>8</v>
      </c>
      <c r="C31" s="2">
        <f t="shared" si="0"/>
        <v>1.3400000000000014</v>
      </c>
      <c r="D31" s="2">
        <f t="shared" si="1"/>
        <v>6.45</v>
      </c>
      <c r="E31" s="60">
        <f t="shared" si="2"/>
        <v>6.6333333333333329</v>
      </c>
      <c r="G31" s="2">
        <f t="shared" si="3"/>
        <v>1.3400000000000014</v>
      </c>
      <c r="H31" s="2">
        <f t="shared" si="4"/>
        <v>1</v>
      </c>
      <c r="J31" s="2">
        <v>1</v>
      </c>
      <c r="K31" s="2">
        <v>1</v>
      </c>
      <c r="M31" t="str">
        <f t="shared" si="5"/>
        <v>IGUALES</v>
      </c>
    </row>
    <row r="32" spans="1:13" x14ac:dyDescent="0.3">
      <c r="B32" s="3">
        <v>9</v>
      </c>
      <c r="C32" s="2">
        <f t="shared" si="0"/>
        <v>6.4999999999999991</v>
      </c>
      <c r="D32" s="2">
        <f t="shared" si="1"/>
        <v>1.25</v>
      </c>
      <c r="E32" s="60">
        <f t="shared" si="2"/>
        <v>2.0333333333333332</v>
      </c>
      <c r="G32" s="2">
        <f t="shared" si="3"/>
        <v>1.25</v>
      </c>
      <c r="H32" s="2">
        <f t="shared" si="4"/>
        <v>2</v>
      </c>
      <c r="J32" s="2">
        <v>2</v>
      </c>
      <c r="K32" s="2">
        <v>2</v>
      </c>
      <c r="M32" t="str">
        <f t="shared" si="5"/>
        <v>IGUALES</v>
      </c>
    </row>
    <row r="33" spans="1:13" x14ac:dyDescent="0.3">
      <c r="B33" s="3">
        <v>10</v>
      </c>
      <c r="C33" s="2">
        <f t="shared" si="0"/>
        <v>4.4999999999999991</v>
      </c>
      <c r="D33" s="2">
        <f t="shared" si="1"/>
        <v>2.3499999999999996</v>
      </c>
      <c r="E33" s="60">
        <f t="shared" si="2"/>
        <v>1.6333333333333329</v>
      </c>
      <c r="G33" s="2">
        <f t="shared" si="3"/>
        <v>1.6333333333333329</v>
      </c>
      <c r="H33" s="2">
        <f t="shared" si="4"/>
        <v>3</v>
      </c>
      <c r="J33" s="2">
        <v>3</v>
      </c>
      <c r="K33" s="2">
        <v>3</v>
      </c>
      <c r="M33" t="str">
        <f t="shared" si="5"/>
        <v>IGUALES</v>
      </c>
    </row>
    <row r="35" spans="1:13" x14ac:dyDescent="0.3">
      <c r="A35" s="18" t="s">
        <v>64</v>
      </c>
      <c r="I35" s="45" t="s">
        <v>65</v>
      </c>
      <c r="J35" s="45"/>
      <c r="K35" s="45"/>
    </row>
    <row r="36" spans="1:13" ht="16.2" thickBot="1" x14ac:dyDescent="0.35">
      <c r="B36" t="s">
        <v>56</v>
      </c>
      <c r="C36" s="53">
        <f>AVERAGE(C5,C6,C7,C8,C10)</f>
        <v>6.4799999999999995</v>
      </c>
      <c r="D36" s="53">
        <f t="shared" ref="D36:F36" si="6">AVERAGE(D5,D6,D7,D8,D10)</f>
        <v>3.0599999999999996</v>
      </c>
      <c r="E36" s="53">
        <f t="shared" si="6"/>
        <v>5.1599999999999993</v>
      </c>
      <c r="F36" s="53">
        <f t="shared" si="6"/>
        <v>1.7200000000000002</v>
      </c>
      <c r="I36" s="45" t="s">
        <v>26</v>
      </c>
      <c r="J36" s="45" t="s">
        <v>27</v>
      </c>
      <c r="K36" s="45" t="s">
        <v>45</v>
      </c>
    </row>
    <row r="37" spans="1:13" ht="16.2" thickBot="1" x14ac:dyDescent="0.35">
      <c r="B37" t="s">
        <v>57</v>
      </c>
      <c r="C37" s="55">
        <f>AVERAGE(C9,C11)</f>
        <v>3.85</v>
      </c>
      <c r="D37" s="55">
        <f t="shared" ref="D37:F37" si="7">AVERAGE(D9,D11)</f>
        <v>3.25</v>
      </c>
      <c r="E37" s="55">
        <f t="shared" si="7"/>
        <v>2.5</v>
      </c>
      <c r="F37" s="55">
        <f t="shared" si="7"/>
        <v>1.25</v>
      </c>
      <c r="I37" s="43">
        <v>3</v>
      </c>
      <c r="J37" s="42">
        <v>7</v>
      </c>
      <c r="K37" s="61">
        <v>1</v>
      </c>
    </row>
    <row r="38" spans="1:13" ht="16.2" thickBot="1" x14ac:dyDescent="0.35">
      <c r="B38" t="s">
        <v>165</v>
      </c>
      <c r="C38" s="59">
        <f>AVERAGE(C3,C4,C12)</f>
        <v>5.2333333333333334</v>
      </c>
      <c r="D38" s="59">
        <f t="shared" ref="D38:F38" si="8">AVERAGE(D3,D4,D12)</f>
        <v>3.2333333333333329</v>
      </c>
      <c r="E38" s="59">
        <f t="shared" si="8"/>
        <v>1.7666666666666666</v>
      </c>
      <c r="F38" s="59">
        <f t="shared" si="8"/>
        <v>0.40000000000000008</v>
      </c>
      <c r="I38" s="43">
        <v>4</v>
      </c>
      <c r="J38" s="42">
        <v>9</v>
      </c>
      <c r="K38" s="61">
        <v>2</v>
      </c>
    </row>
    <row r="39" spans="1:13" ht="16.2" thickBot="1" x14ac:dyDescent="0.35">
      <c r="I39" s="44">
        <v>5</v>
      </c>
      <c r="J39" s="42"/>
      <c r="K39" s="61">
        <v>10</v>
      </c>
    </row>
    <row r="40" spans="1:13" ht="16.2" thickBot="1" x14ac:dyDescent="0.35">
      <c r="I40" s="44">
        <v>6</v>
      </c>
      <c r="J40" s="41"/>
    </row>
    <row r="41" spans="1:13" ht="16.2" thickBot="1" x14ac:dyDescent="0.35">
      <c r="I41" s="44">
        <v>8</v>
      </c>
      <c r="J41" s="42"/>
    </row>
    <row r="42" spans="1:13" x14ac:dyDescent="0.3">
      <c r="J42" s="40"/>
    </row>
  </sheetData>
  <autoFilter ref="A2:G12" xr:uid="{00000000-0009-0000-0000-000006000000}">
    <filterColumn colId="6">
      <filters>
        <filter val="3"/>
      </filters>
    </filterColumn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6C44-DDEA-4DCD-8559-31029DFB659D}">
  <dimension ref="A1:S51"/>
  <sheetViews>
    <sheetView topLeftCell="A14" zoomScale="90" zoomScaleNormal="90" workbookViewId="0">
      <selection activeCell="U42" sqref="U42"/>
    </sheetView>
  </sheetViews>
  <sheetFormatPr defaultColWidth="11.44140625" defaultRowHeight="14.4" x14ac:dyDescent="0.3"/>
  <sheetData>
    <row r="1" spans="1:18" ht="21.6" thickBot="1" x14ac:dyDescent="0.45">
      <c r="A1" s="34" t="s">
        <v>46</v>
      </c>
    </row>
    <row r="2" spans="1:18" ht="31.8" thickBot="1" x14ac:dyDescent="0.35">
      <c r="B2" s="11" t="s">
        <v>47</v>
      </c>
      <c r="C2" s="7" t="s">
        <v>48</v>
      </c>
      <c r="D2" s="7" t="s">
        <v>49</v>
      </c>
      <c r="E2" s="7" t="s">
        <v>50</v>
      </c>
      <c r="F2" s="7" t="s">
        <v>51</v>
      </c>
    </row>
    <row r="3" spans="1:18" ht="16.2" thickBot="1" x14ac:dyDescent="0.35">
      <c r="B3" s="8">
        <v>1</v>
      </c>
      <c r="C3" s="9">
        <v>5.0999999999999996</v>
      </c>
      <c r="D3" s="9">
        <v>3.5</v>
      </c>
      <c r="E3" s="9">
        <v>1.4</v>
      </c>
      <c r="F3" s="9">
        <v>0.2</v>
      </c>
    </row>
    <row r="4" spans="1:18" ht="16.2" thickBot="1" x14ac:dyDescent="0.35">
      <c r="B4" s="8">
        <v>2</v>
      </c>
      <c r="C4" s="9">
        <v>4.9000000000000004</v>
      </c>
      <c r="D4" s="9">
        <v>3</v>
      </c>
      <c r="E4" s="9">
        <v>1.4</v>
      </c>
      <c r="F4" s="9">
        <v>0.2</v>
      </c>
    </row>
    <row r="5" spans="1:18" ht="16.2" thickBot="1" x14ac:dyDescent="0.35">
      <c r="B5" s="8">
        <v>3</v>
      </c>
      <c r="C5" s="9">
        <v>7</v>
      </c>
      <c r="D5" s="9">
        <v>3.2</v>
      </c>
      <c r="E5" s="9">
        <v>4.7</v>
      </c>
      <c r="F5" s="9">
        <v>1.4</v>
      </c>
    </row>
    <row r="6" spans="1:18" ht="16.2" thickBot="1" x14ac:dyDescent="0.35">
      <c r="B6" s="8">
        <v>4</v>
      </c>
      <c r="C6" s="9">
        <v>6.4</v>
      </c>
      <c r="D6" s="9">
        <v>3.2</v>
      </c>
      <c r="E6" s="9">
        <v>4.5</v>
      </c>
      <c r="F6" s="9">
        <v>1.5</v>
      </c>
    </row>
    <row r="7" spans="1:18" ht="16.2" thickBot="1" x14ac:dyDescent="0.35">
      <c r="B7" s="8">
        <v>5</v>
      </c>
      <c r="C7" s="9">
        <v>6.3</v>
      </c>
      <c r="D7" s="9">
        <v>3.3</v>
      </c>
      <c r="E7" s="9">
        <v>6</v>
      </c>
      <c r="F7" s="9">
        <v>2.5</v>
      </c>
    </row>
    <row r="8" spans="1:18" ht="16.2" thickBot="1" x14ac:dyDescent="0.35">
      <c r="B8" s="8">
        <v>6</v>
      </c>
      <c r="C8" s="13">
        <v>5.8</v>
      </c>
      <c r="D8" s="13">
        <v>2.7</v>
      </c>
      <c r="E8" s="13">
        <v>5.0999999999999996</v>
      </c>
      <c r="F8" s="13">
        <v>1.9</v>
      </c>
    </row>
    <row r="9" spans="1:18" ht="16.2" thickBot="1" x14ac:dyDescent="0.35">
      <c r="B9" s="35">
        <v>7</v>
      </c>
      <c r="C9" s="36">
        <v>3.5</v>
      </c>
      <c r="D9" s="36">
        <v>3.1</v>
      </c>
      <c r="E9" s="36">
        <v>3.2</v>
      </c>
      <c r="F9" s="37">
        <v>1.3</v>
      </c>
    </row>
    <row r="10" spans="1:18" ht="16.2" thickBot="1" x14ac:dyDescent="0.35">
      <c r="B10" s="35">
        <v>8</v>
      </c>
      <c r="C10" s="36">
        <v>6.9</v>
      </c>
      <c r="D10" s="36">
        <v>2.9</v>
      </c>
      <c r="E10" s="36">
        <v>5.5</v>
      </c>
      <c r="F10" s="37">
        <v>1.3</v>
      </c>
    </row>
    <row r="11" spans="1:18" ht="16.2" thickBot="1" x14ac:dyDescent="0.35">
      <c r="B11" s="12">
        <v>9</v>
      </c>
      <c r="C11" s="14">
        <v>4.2</v>
      </c>
      <c r="D11" s="14">
        <v>3.4</v>
      </c>
      <c r="E11" s="14">
        <v>1.8</v>
      </c>
      <c r="F11" s="16">
        <v>1.2</v>
      </c>
    </row>
    <row r="12" spans="1:18" ht="16.2" thickBot="1" x14ac:dyDescent="0.35">
      <c r="B12" s="12">
        <v>10</v>
      </c>
      <c r="C12" s="15">
        <v>5.7</v>
      </c>
      <c r="D12" s="15">
        <v>3.2</v>
      </c>
      <c r="E12" s="15">
        <v>2.5</v>
      </c>
      <c r="F12" s="17">
        <v>0.8</v>
      </c>
    </row>
    <row r="14" spans="1:18" x14ac:dyDescent="0.3">
      <c r="Q14" t="s">
        <v>166</v>
      </c>
    </row>
    <row r="15" spans="1:18" x14ac:dyDescent="0.3">
      <c r="A15" t="s">
        <v>29</v>
      </c>
      <c r="G15" t="s">
        <v>30</v>
      </c>
      <c r="J15" t="s">
        <v>167</v>
      </c>
      <c r="L15" t="s">
        <v>168</v>
      </c>
      <c r="N15" t="s">
        <v>169</v>
      </c>
      <c r="Q15" s="1" t="s">
        <v>35</v>
      </c>
      <c r="R15" s="1" t="s">
        <v>36</v>
      </c>
    </row>
    <row r="16" spans="1:18" ht="16.2" thickBot="1" x14ac:dyDescent="0.35">
      <c r="B16" s="72">
        <v>3.5</v>
      </c>
      <c r="C16" s="72">
        <v>3.1</v>
      </c>
      <c r="D16" s="72">
        <v>3.2</v>
      </c>
      <c r="E16" s="75">
        <v>1.3</v>
      </c>
      <c r="F16" s="82"/>
      <c r="G16" s="80">
        <v>7</v>
      </c>
      <c r="J16" s="1">
        <f>ABS(B16-B17)+ABS(C16-C17)+ABS(D16-D17)+ABS(E16-E17)</f>
        <v>2.5000000000000004</v>
      </c>
      <c r="L16" s="1" t="str">
        <f>CONCATENATE(G16,"y",G17)</f>
        <v>7y9</v>
      </c>
      <c r="N16" s="85">
        <v>0.69999999999999929</v>
      </c>
      <c r="O16" s="85" t="s">
        <v>170</v>
      </c>
      <c r="Q16">
        <v>1</v>
      </c>
      <c r="R16">
        <v>0</v>
      </c>
    </row>
    <row r="17" spans="2:19" ht="16.2" thickBot="1" x14ac:dyDescent="0.35">
      <c r="B17" s="17">
        <v>4.2</v>
      </c>
      <c r="C17" s="17">
        <v>3.4</v>
      </c>
      <c r="D17" s="17">
        <v>1.8</v>
      </c>
      <c r="E17" s="76">
        <v>1.2</v>
      </c>
      <c r="F17" s="82"/>
      <c r="G17" s="80">
        <v>9</v>
      </c>
      <c r="J17" s="1">
        <f t="shared" ref="J17:J25" si="0">ABS(B17-B18)+ABS(C17-C18)+ABS(D17-D18)+ABS(E17-E18)</f>
        <v>2.5</v>
      </c>
      <c r="L17" s="1" t="str">
        <f t="shared" ref="L17:L25" si="1">CONCATENATE(G17,"y",G18)</f>
        <v>9y2</v>
      </c>
      <c r="N17" s="85">
        <v>1.2999999999999996</v>
      </c>
      <c r="O17" s="85" t="s">
        <v>171</v>
      </c>
      <c r="Q17">
        <v>2</v>
      </c>
      <c r="R17">
        <v>0</v>
      </c>
    </row>
    <row r="18" spans="2:19" ht="16.2" thickBot="1" x14ac:dyDescent="0.35">
      <c r="B18" s="9">
        <v>4.9000000000000004</v>
      </c>
      <c r="C18" s="9">
        <v>3</v>
      </c>
      <c r="D18" s="9">
        <v>1.4</v>
      </c>
      <c r="E18" s="74">
        <v>0.2</v>
      </c>
      <c r="F18" s="83"/>
      <c r="G18" s="80">
        <v>2</v>
      </c>
      <c r="J18" s="1">
        <f t="shared" si="0"/>
        <v>0.69999999999999929</v>
      </c>
      <c r="L18" s="1" t="str">
        <f t="shared" si="1"/>
        <v>2y1</v>
      </c>
      <c r="N18" s="85">
        <v>2</v>
      </c>
      <c r="O18" s="85" t="s">
        <v>172</v>
      </c>
      <c r="Q18">
        <v>3</v>
      </c>
      <c r="R18">
        <v>0</v>
      </c>
    </row>
    <row r="19" spans="2:19" ht="16.2" thickBot="1" x14ac:dyDescent="0.35">
      <c r="B19" s="9">
        <v>5.0999999999999996</v>
      </c>
      <c r="C19" s="9">
        <v>3.5</v>
      </c>
      <c r="D19" s="9">
        <v>1.4</v>
      </c>
      <c r="E19" s="74">
        <v>0.2</v>
      </c>
      <c r="F19" s="83"/>
      <c r="G19" s="80">
        <v>1</v>
      </c>
      <c r="J19" s="1">
        <f t="shared" si="0"/>
        <v>2.6000000000000005</v>
      </c>
      <c r="L19" s="1" t="str">
        <f t="shared" si="1"/>
        <v>1y10</v>
      </c>
      <c r="N19" s="85">
        <v>2.5</v>
      </c>
      <c r="O19" s="85" t="s">
        <v>173</v>
      </c>
      <c r="Q19">
        <v>4</v>
      </c>
      <c r="R19">
        <v>0</v>
      </c>
    </row>
    <row r="20" spans="2:19" ht="15.6" x14ac:dyDescent="0.3">
      <c r="B20" s="17">
        <v>5.7</v>
      </c>
      <c r="C20" s="17">
        <v>3.2</v>
      </c>
      <c r="D20" s="17">
        <v>2.5</v>
      </c>
      <c r="E20" s="76">
        <v>0.8</v>
      </c>
      <c r="F20" s="82"/>
      <c r="G20" s="80">
        <v>10</v>
      </c>
      <c r="J20" s="1">
        <f t="shared" si="0"/>
        <v>4.2999999999999989</v>
      </c>
      <c r="L20" s="1" t="str">
        <f t="shared" si="1"/>
        <v>10y6</v>
      </c>
      <c r="N20" s="85">
        <v>2.5000000000000004</v>
      </c>
      <c r="O20" s="85" t="s">
        <v>174</v>
      </c>
      <c r="Q20">
        <v>5</v>
      </c>
      <c r="R20">
        <v>0</v>
      </c>
    </row>
    <row r="21" spans="2:19" ht="15.6" x14ac:dyDescent="0.3">
      <c r="B21" s="13">
        <v>5.8</v>
      </c>
      <c r="C21" s="13">
        <v>2.7</v>
      </c>
      <c r="D21" s="13">
        <v>5.0999999999999996</v>
      </c>
      <c r="E21" s="77">
        <v>1.9</v>
      </c>
      <c r="F21" s="83"/>
      <c r="G21" s="80">
        <v>6</v>
      </c>
      <c r="J21" s="1">
        <f t="shared" si="0"/>
        <v>2.6</v>
      </c>
      <c r="L21" s="1" t="str">
        <f t="shared" si="1"/>
        <v>6y5</v>
      </c>
      <c r="N21" s="85">
        <v>2.6</v>
      </c>
      <c r="O21" s="85" t="s">
        <v>175</v>
      </c>
      <c r="Q21">
        <v>6</v>
      </c>
      <c r="R21">
        <v>0</v>
      </c>
    </row>
    <row r="22" spans="2:19" ht="15.6" x14ac:dyDescent="0.3">
      <c r="B22" s="73">
        <v>6.3</v>
      </c>
      <c r="C22" s="73">
        <v>3.3</v>
      </c>
      <c r="D22" s="73">
        <v>6</v>
      </c>
      <c r="E22" s="78">
        <v>2.5</v>
      </c>
      <c r="F22" s="83"/>
      <c r="G22" s="81">
        <v>5</v>
      </c>
      <c r="J22" s="1">
        <f t="shared" si="0"/>
        <v>2.7</v>
      </c>
      <c r="L22" s="1" t="str">
        <f t="shared" si="1"/>
        <v>5y4</v>
      </c>
      <c r="N22" s="85">
        <v>2.6000000000000005</v>
      </c>
      <c r="O22" s="85" t="s">
        <v>176</v>
      </c>
      <c r="Q22">
        <v>7</v>
      </c>
      <c r="R22">
        <v>0</v>
      </c>
    </row>
    <row r="23" spans="2:19" ht="15.6" x14ac:dyDescent="0.3">
      <c r="B23" s="73">
        <v>6.4</v>
      </c>
      <c r="C23" s="73">
        <v>3.2</v>
      </c>
      <c r="D23" s="73">
        <v>4.5</v>
      </c>
      <c r="E23" s="78">
        <v>1.5</v>
      </c>
      <c r="F23" s="83"/>
      <c r="G23" s="81">
        <v>4</v>
      </c>
      <c r="J23" s="1">
        <f t="shared" si="0"/>
        <v>2</v>
      </c>
      <c r="L23" s="1" t="str">
        <f t="shared" si="1"/>
        <v>4y8</v>
      </c>
      <c r="N23" s="85">
        <v>2.7</v>
      </c>
      <c r="O23" s="85" t="s">
        <v>177</v>
      </c>
      <c r="Q23">
        <v>8</v>
      </c>
      <c r="R23">
        <v>0</v>
      </c>
    </row>
    <row r="24" spans="2:19" ht="15.6" x14ac:dyDescent="0.3">
      <c r="B24" s="36">
        <v>6.9</v>
      </c>
      <c r="C24" s="36">
        <v>2.9</v>
      </c>
      <c r="D24" s="36">
        <v>5.5</v>
      </c>
      <c r="E24" s="79">
        <v>1.3</v>
      </c>
      <c r="F24" s="82"/>
      <c r="G24" s="81">
        <v>8</v>
      </c>
      <c r="J24" s="1">
        <f t="shared" si="0"/>
        <v>1.2999999999999996</v>
      </c>
      <c r="L24" s="1" t="str">
        <f t="shared" si="1"/>
        <v>8y3</v>
      </c>
      <c r="N24" s="85">
        <v>4.2999999999999989</v>
      </c>
      <c r="O24" s="85" t="s">
        <v>178</v>
      </c>
      <c r="Q24">
        <v>9</v>
      </c>
      <c r="R24">
        <v>0</v>
      </c>
    </row>
    <row r="25" spans="2:19" ht="15.6" x14ac:dyDescent="0.3">
      <c r="B25" s="8">
        <v>7</v>
      </c>
      <c r="C25" s="8">
        <v>3.2</v>
      </c>
      <c r="D25" s="8">
        <v>4.7</v>
      </c>
      <c r="E25" s="74">
        <v>1.4</v>
      </c>
      <c r="F25" s="83"/>
      <c r="G25" s="81">
        <v>3</v>
      </c>
      <c r="J25" s="84">
        <f t="shared" si="0"/>
        <v>16.299999999999997</v>
      </c>
      <c r="L25" s="84" t="str">
        <f t="shared" si="1"/>
        <v>3y</v>
      </c>
      <c r="N25" s="85">
        <v>16.299999999999997</v>
      </c>
      <c r="O25" s="85" t="s">
        <v>179</v>
      </c>
      <c r="Q25">
        <v>10</v>
      </c>
      <c r="R25">
        <v>0</v>
      </c>
    </row>
    <row r="26" spans="2:19" x14ac:dyDescent="0.3">
      <c r="Q26" s="85">
        <v>3.5</v>
      </c>
      <c r="R26" s="85">
        <v>0.69999999999999929</v>
      </c>
      <c r="S26" s="87" t="s">
        <v>170</v>
      </c>
    </row>
    <row r="27" spans="2:19" x14ac:dyDescent="0.3">
      <c r="Q27" s="85">
        <v>9.5</v>
      </c>
      <c r="R27" s="85">
        <v>1.2999999999999996</v>
      </c>
      <c r="S27" s="87" t="s">
        <v>171</v>
      </c>
    </row>
    <row r="28" spans="2:19" x14ac:dyDescent="0.3">
      <c r="Q28" s="85">
        <v>8.5</v>
      </c>
      <c r="R28" s="85">
        <v>2</v>
      </c>
      <c r="S28" s="85" t="s">
        <v>172</v>
      </c>
    </row>
    <row r="29" spans="2:19" x14ac:dyDescent="0.3">
      <c r="Q29" s="85">
        <v>2.5</v>
      </c>
      <c r="R29" s="85">
        <v>2.5</v>
      </c>
      <c r="S29" s="85" t="s">
        <v>173</v>
      </c>
    </row>
    <row r="30" spans="2:19" x14ac:dyDescent="0.3">
      <c r="Q30" s="85">
        <v>1.5</v>
      </c>
      <c r="R30" s="85">
        <v>2.5000000000000004</v>
      </c>
      <c r="S30" s="85" t="s">
        <v>174</v>
      </c>
    </row>
    <row r="31" spans="2:19" x14ac:dyDescent="0.3">
      <c r="Q31" s="85">
        <v>6.5</v>
      </c>
      <c r="R31" s="85">
        <v>2.6</v>
      </c>
      <c r="S31" s="85" t="s">
        <v>175</v>
      </c>
    </row>
    <row r="32" spans="2:19" x14ac:dyDescent="0.3">
      <c r="Q32" s="85">
        <v>4.5</v>
      </c>
      <c r="R32" s="85">
        <v>2.6000000000000005</v>
      </c>
      <c r="S32" s="85" t="s">
        <v>176</v>
      </c>
    </row>
    <row r="33" spans="14:19" x14ac:dyDescent="0.3">
      <c r="Q33" s="85">
        <v>7.5</v>
      </c>
      <c r="R33" s="85">
        <v>2.7</v>
      </c>
      <c r="S33" s="85" t="s">
        <v>177</v>
      </c>
    </row>
    <row r="34" spans="14:19" x14ac:dyDescent="0.3">
      <c r="Q34" s="85">
        <v>5.5</v>
      </c>
      <c r="R34" s="85">
        <v>4.2999999999999989</v>
      </c>
      <c r="S34" s="85" t="s">
        <v>178</v>
      </c>
    </row>
    <row r="35" spans="14:19" x14ac:dyDescent="0.3">
      <c r="Q35" s="86">
        <v>10.5</v>
      </c>
      <c r="R35" s="86">
        <v>16.299999999999997</v>
      </c>
      <c r="S35" s="86" t="s">
        <v>179</v>
      </c>
    </row>
    <row r="40" spans="14:19" x14ac:dyDescent="0.3">
      <c r="N40" t="s">
        <v>180</v>
      </c>
      <c r="P40" t="s">
        <v>181</v>
      </c>
      <c r="Q40" t="s">
        <v>182</v>
      </c>
    </row>
    <row r="41" spans="14:19" ht="16.2" thickBot="1" x14ac:dyDescent="0.35">
      <c r="P41" s="88">
        <v>7</v>
      </c>
      <c r="Q41" s="88">
        <v>6</v>
      </c>
    </row>
    <row r="42" spans="14:19" ht="16.2" thickBot="1" x14ac:dyDescent="0.35">
      <c r="P42" s="88">
        <v>9</v>
      </c>
      <c r="Q42" s="89">
        <v>5</v>
      </c>
    </row>
    <row r="43" spans="14:19" ht="16.2" thickBot="1" x14ac:dyDescent="0.35">
      <c r="P43" s="88">
        <v>2</v>
      </c>
      <c r="Q43" s="89">
        <v>4</v>
      </c>
    </row>
    <row r="44" spans="14:19" ht="16.2" thickBot="1" x14ac:dyDescent="0.35">
      <c r="P44" s="88">
        <v>1</v>
      </c>
      <c r="Q44" s="89">
        <v>8</v>
      </c>
    </row>
    <row r="45" spans="14:19" ht="15.6" x14ac:dyDescent="0.3">
      <c r="P45" s="88">
        <v>10</v>
      </c>
      <c r="Q45" s="89">
        <v>3</v>
      </c>
    </row>
    <row r="46" spans="14:19" x14ac:dyDescent="0.3">
      <c r="N46" t="s">
        <v>183</v>
      </c>
      <c r="P46" t="s">
        <v>181</v>
      </c>
      <c r="Q46" t="s">
        <v>182</v>
      </c>
      <c r="R46" t="s">
        <v>184</v>
      </c>
    </row>
    <row r="47" spans="14:19" ht="15.6" x14ac:dyDescent="0.3">
      <c r="P47" s="88">
        <v>7</v>
      </c>
      <c r="Q47" s="88">
        <v>6</v>
      </c>
      <c r="R47" s="89">
        <v>4</v>
      </c>
    </row>
    <row r="48" spans="14:19" ht="15.6" x14ac:dyDescent="0.3">
      <c r="P48" s="88">
        <v>9</v>
      </c>
      <c r="Q48" s="89">
        <v>5</v>
      </c>
      <c r="R48" s="89">
        <v>8</v>
      </c>
    </row>
    <row r="49" spans="16:18" ht="15.6" x14ac:dyDescent="0.3">
      <c r="P49" s="88">
        <v>2</v>
      </c>
      <c r="Q49" s="89">
        <v>4</v>
      </c>
      <c r="R49" s="89">
        <v>3</v>
      </c>
    </row>
    <row r="50" spans="16:18" ht="15.6" x14ac:dyDescent="0.3">
      <c r="P50" s="88">
        <v>1</v>
      </c>
      <c r="Q50" s="89">
        <v>8</v>
      </c>
    </row>
    <row r="51" spans="16:18" ht="15.6" x14ac:dyDescent="0.3">
      <c r="P51" s="88">
        <v>10</v>
      </c>
      <c r="Q51" s="89">
        <v>3</v>
      </c>
    </row>
  </sheetData>
  <sortState xmlns:xlrd2="http://schemas.microsoft.com/office/spreadsheetml/2017/richdata2" ref="J28:L37">
    <sortCondition ref="J28:J37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376D-F909-4BF4-84B1-C19EC9505B69}">
  <dimension ref="A1:X104"/>
  <sheetViews>
    <sheetView tabSelected="1" workbookViewId="0">
      <selection activeCell="P80" sqref="P80"/>
    </sheetView>
  </sheetViews>
  <sheetFormatPr defaultColWidth="11.44140625" defaultRowHeight="14.4" x14ac:dyDescent="0.3"/>
  <sheetData>
    <row r="1" spans="1:14" ht="21" x14ac:dyDescent="0.4">
      <c r="A1" s="96" t="s">
        <v>66</v>
      </c>
      <c r="B1" s="96"/>
      <c r="C1" s="9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57.6" x14ac:dyDescent="0.3">
      <c r="A2" s="90"/>
      <c r="B2" s="91" t="s">
        <v>67</v>
      </c>
      <c r="C2" s="92" t="s">
        <v>68</v>
      </c>
      <c r="D2" s="90" t="s">
        <v>69</v>
      </c>
      <c r="E2" s="92" t="s">
        <v>70</v>
      </c>
      <c r="F2" s="92" t="s">
        <v>71</v>
      </c>
      <c r="G2" s="92" t="s">
        <v>72</v>
      </c>
      <c r="H2" s="92" t="s">
        <v>73</v>
      </c>
      <c r="I2" s="92" t="s">
        <v>74</v>
      </c>
      <c r="J2" s="92" t="s">
        <v>75</v>
      </c>
      <c r="K2" s="92" t="s">
        <v>76</v>
      </c>
      <c r="L2" s="92" t="s">
        <v>77</v>
      </c>
      <c r="M2" s="92" t="s">
        <v>78</v>
      </c>
      <c r="N2" s="92" t="s">
        <v>79</v>
      </c>
    </row>
    <row r="3" spans="1:14" x14ac:dyDescent="0.3">
      <c r="A3" s="90"/>
      <c r="B3" s="91">
        <v>1</v>
      </c>
      <c r="C3" s="91">
        <v>1956496</v>
      </c>
      <c r="D3" s="90" t="s">
        <v>80</v>
      </c>
      <c r="E3" s="91">
        <v>42</v>
      </c>
      <c r="F3" s="91">
        <v>1</v>
      </c>
      <c r="G3" s="91">
        <v>140</v>
      </c>
      <c r="H3" s="91">
        <v>2</v>
      </c>
      <c r="I3" s="91">
        <v>3619</v>
      </c>
      <c r="J3" s="91">
        <v>5</v>
      </c>
      <c r="K3" s="91">
        <v>15</v>
      </c>
      <c r="L3" s="91">
        <v>1</v>
      </c>
      <c r="M3" s="91">
        <v>6</v>
      </c>
      <c r="N3" s="91">
        <v>7</v>
      </c>
    </row>
    <row r="4" spans="1:14" x14ac:dyDescent="0.3">
      <c r="A4" s="90"/>
      <c r="B4" s="91">
        <v>2</v>
      </c>
      <c r="C4" s="91">
        <v>1946459</v>
      </c>
      <c r="D4" s="90" t="s">
        <v>81</v>
      </c>
      <c r="E4" s="91">
        <v>43</v>
      </c>
      <c r="F4" s="91">
        <v>5</v>
      </c>
      <c r="G4" s="91">
        <v>60</v>
      </c>
      <c r="H4" s="91">
        <v>3</v>
      </c>
      <c r="I4" s="91">
        <v>14295</v>
      </c>
      <c r="J4" s="91">
        <v>1</v>
      </c>
      <c r="K4" s="91">
        <v>14</v>
      </c>
      <c r="L4" s="91">
        <v>2</v>
      </c>
      <c r="M4" s="91">
        <v>1</v>
      </c>
      <c r="N4" s="91">
        <v>2</v>
      </c>
    </row>
    <row r="5" spans="1:14" x14ac:dyDescent="0.3">
      <c r="A5" s="90"/>
      <c r="B5" s="91">
        <v>3</v>
      </c>
      <c r="C5" s="91">
        <v>1946839</v>
      </c>
      <c r="D5" s="90" t="s">
        <v>82</v>
      </c>
      <c r="E5" s="91">
        <v>32</v>
      </c>
      <c r="F5" s="91">
        <v>12</v>
      </c>
      <c r="G5" s="91">
        <v>132</v>
      </c>
      <c r="H5" s="91">
        <v>0</v>
      </c>
      <c r="I5" s="91">
        <v>6555</v>
      </c>
      <c r="J5" s="91">
        <v>0</v>
      </c>
      <c r="K5" s="91">
        <v>28</v>
      </c>
      <c r="L5" s="91">
        <v>4</v>
      </c>
      <c r="M5" s="91">
        <v>3</v>
      </c>
      <c r="N5" s="91">
        <v>5</v>
      </c>
    </row>
    <row r="6" spans="1:14" x14ac:dyDescent="0.3">
      <c r="A6" s="90"/>
      <c r="B6" s="91">
        <v>4</v>
      </c>
      <c r="C6" s="91">
        <v>1915784</v>
      </c>
      <c r="D6" s="90" t="s">
        <v>83</v>
      </c>
      <c r="E6" s="91">
        <v>20</v>
      </c>
      <c r="F6" s="91">
        <v>1</v>
      </c>
      <c r="G6" s="91">
        <v>46</v>
      </c>
      <c r="H6" s="91">
        <v>1</v>
      </c>
      <c r="I6" s="91">
        <v>3585</v>
      </c>
      <c r="J6" s="91">
        <v>5</v>
      </c>
      <c r="K6" s="91">
        <v>19</v>
      </c>
      <c r="L6" s="91">
        <v>7</v>
      </c>
      <c r="M6" s="91">
        <v>5</v>
      </c>
      <c r="N6" s="91">
        <v>1</v>
      </c>
    </row>
    <row r="7" spans="1:14" x14ac:dyDescent="0.3">
      <c r="A7" s="90"/>
      <c r="B7" s="91">
        <v>5</v>
      </c>
      <c r="C7" s="91">
        <v>1956776</v>
      </c>
      <c r="D7" s="90" t="s">
        <v>84</v>
      </c>
      <c r="E7" s="91">
        <v>25</v>
      </c>
      <c r="F7" s="91">
        <v>10</v>
      </c>
      <c r="G7" s="91">
        <v>79</v>
      </c>
      <c r="H7" s="91">
        <v>2</v>
      </c>
      <c r="I7" s="91">
        <v>14654</v>
      </c>
      <c r="J7" s="91">
        <v>3</v>
      </c>
      <c r="K7" s="91">
        <v>16</v>
      </c>
      <c r="L7" s="91">
        <v>0</v>
      </c>
      <c r="M7" s="91">
        <v>2</v>
      </c>
      <c r="N7" s="91">
        <v>4</v>
      </c>
    </row>
    <row r="8" spans="1:14" x14ac:dyDescent="0.3">
      <c r="A8" s="90"/>
      <c r="B8" s="91">
        <v>6</v>
      </c>
      <c r="C8" s="91">
        <v>1972776</v>
      </c>
      <c r="D8" s="90" t="s">
        <v>85</v>
      </c>
      <c r="E8" s="91">
        <v>54</v>
      </c>
      <c r="F8" s="91">
        <v>7</v>
      </c>
      <c r="G8" s="91">
        <v>21</v>
      </c>
      <c r="H8" s="91">
        <v>4</v>
      </c>
      <c r="I8" s="91">
        <v>6463</v>
      </c>
      <c r="J8" s="91">
        <v>7</v>
      </c>
      <c r="K8" s="91">
        <v>9</v>
      </c>
      <c r="L8" s="91">
        <v>6</v>
      </c>
      <c r="M8" s="91">
        <v>2</v>
      </c>
      <c r="N8" s="91">
        <v>7</v>
      </c>
    </row>
    <row r="9" spans="1:14" x14ac:dyDescent="0.3">
      <c r="A9" s="90"/>
      <c r="B9" s="91">
        <v>7</v>
      </c>
      <c r="C9" s="91">
        <v>1958969</v>
      </c>
      <c r="D9" s="90" t="s">
        <v>86</v>
      </c>
      <c r="E9" s="91">
        <v>33</v>
      </c>
      <c r="F9" s="91">
        <v>2</v>
      </c>
      <c r="G9" s="91">
        <v>107</v>
      </c>
      <c r="H9" s="91">
        <v>0</v>
      </c>
      <c r="I9" s="91">
        <v>7833</v>
      </c>
      <c r="J9" s="91">
        <v>8</v>
      </c>
      <c r="K9" s="91">
        <v>24</v>
      </c>
      <c r="L9" s="91">
        <v>4</v>
      </c>
      <c r="M9" s="91">
        <v>3</v>
      </c>
      <c r="N9" s="91">
        <v>6</v>
      </c>
    </row>
    <row r="10" spans="1:14" x14ac:dyDescent="0.3">
      <c r="A10" s="90"/>
      <c r="B10" s="91">
        <v>8</v>
      </c>
      <c r="C10" s="91">
        <v>1967427</v>
      </c>
      <c r="D10" s="90" t="s">
        <v>87</v>
      </c>
      <c r="E10" s="91">
        <v>46</v>
      </c>
      <c r="F10" s="91">
        <v>11</v>
      </c>
      <c r="G10" s="91">
        <v>75</v>
      </c>
      <c r="H10" s="91">
        <v>0</v>
      </c>
      <c r="I10" s="91">
        <v>11403</v>
      </c>
      <c r="J10" s="91">
        <v>6</v>
      </c>
      <c r="K10" s="91">
        <v>25</v>
      </c>
      <c r="L10" s="91">
        <v>6</v>
      </c>
      <c r="M10" s="91">
        <v>3</v>
      </c>
      <c r="N10" s="91">
        <v>6</v>
      </c>
    </row>
    <row r="11" spans="1:14" x14ac:dyDescent="0.3">
      <c r="A11" s="90"/>
      <c r="B11" s="91">
        <v>9</v>
      </c>
      <c r="C11" s="91">
        <v>1970396</v>
      </c>
      <c r="D11" s="90" t="s">
        <v>88</v>
      </c>
      <c r="E11" s="91">
        <v>36</v>
      </c>
      <c r="F11" s="91">
        <v>1</v>
      </c>
      <c r="G11" s="91">
        <v>33</v>
      </c>
      <c r="H11" s="91">
        <v>2</v>
      </c>
      <c r="I11" s="91">
        <v>5781</v>
      </c>
      <c r="J11" s="91">
        <v>6</v>
      </c>
      <c r="K11" s="91">
        <v>6</v>
      </c>
      <c r="L11" s="91">
        <v>2</v>
      </c>
      <c r="M11" s="91">
        <v>3</v>
      </c>
      <c r="N11" s="91">
        <v>5</v>
      </c>
    </row>
    <row r="12" spans="1:14" x14ac:dyDescent="0.3">
      <c r="A12" s="90"/>
      <c r="B12" s="91">
        <v>10</v>
      </c>
      <c r="C12" s="91">
        <v>2079503</v>
      </c>
      <c r="D12" s="90" t="s">
        <v>89</v>
      </c>
      <c r="E12" s="91">
        <v>64</v>
      </c>
      <c r="F12" s="91">
        <v>4</v>
      </c>
      <c r="G12" s="91">
        <v>91</v>
      </c>
      <c r="H12" s="91">
        <v>1</v>
      </c>
      <c r="I12" s="91">
        <v>10858</v>
      </c>
      <c r="J12" s="91">
        <v>9</v>
      </c>
      <c r="K12" s="91">
        <v>3</v>
      </c>
      <c r="L12" s="91">
        <v>2</v>
      </c>
      <c r="M12" s="91">
        <v>6</v>
      </c>
      <c r="N12" s="91">
        <v>2</v>
      </c>
    </row>
    <row r="13" spans="1:14" x14ac:dyDescent="0.3">
      <c r="A13" s="90"/>
      <c r="B13" s="91">
        <v>11</v>
      </c>
      <c r="C13" s="91">
        <v>1959927</v>
      </c>
      <c r="D13" s="90" t="s">
        <v>90</v>
      </c>
      <c r="E13" s="91">
        <v>32</v>
      </c>
      <c r="F13" s="91">
        <v>6</v>
      </c>
      <c r="G13" s="91">
        <v>30</v>
      </c>
      <c r="H13" s="91">
        <v>3</v>
      </c>
      <c r="I13" s="91">
        <v>7899</v>
      </c>
      <c r="J13" s="91">
        <v>4</v>
      </c>
      <c r="K13" s="91">
        <v>6</v>
      </c>
      <c r="L13" s="91">
        <v>1</v>
      </c>
      <c r="M13" s="91">
        <v>7</v>
      </c>
      <c r="N13" s="91">
        <v>2</v>
      </c>
    </row>
    <row r="14" spans="1:14" x14ac:dyDescent="0.3">
      <c r="A14" s="90"/>
      <c r="B14" s="91">
        <v>12</v>
      </c>
      <c r="C14" s="91">
        <v>1951534</v>
      </c>
      <c r="D14" s="90" t="s">
        <v>91</v>
      </c>
      <c r="E14" s="91">
        <v>23</v>
      </c>
      <c r="F14" s="91">
        <v>11</v>
      </c>
      <c r="G14" s="91">
        <v>86</v>
      </c>
      <c r="H14" s="91">
        <v>3</v>
      </c>
      <c r="I14" s="91">
        <v>7682</v>
      </c>
      <c r="J14" s="91">
        <v>0</v>
      </c>
      <c r="K14" s="91">
        <v>12</v>
      </c>
      <c r="L14" s="91">
        <v>3</v>
      </c>
      <c r="M14" s="91">
        <v>7</v>
      </c>
      <c r="N14" s="91">
        <v>7</v>
      </c>
    </row>
    <row r="15" spans="1:14" x14ac:dyDescent="0.3">
      <c r="A15" s="90"/>
      <c r="B15" s="91">
        <v>13</v>
      </c>
      <c r="C15" s="91">
        <v>2079538</v>
      </c>
      <c r="D15" s="90" t="s">
        <v>92</v>
      </c>
      <c r="E15" s="91">
        <v>65</v>
      </c>
      <c r="F15" s="91">
        <v>6</v>
      </c>
      <c r="G15" s="91">
        <v>18</v>
      </c>
      <c r="H15" s="91">
        <v>0</v>
      </c>
      <c r="I15" s="91">
        <v>13685</v>
      </c>
      <c r="J15" s="91">
        <v>2</v>
      </c>
      <c r="K15" s="91">
        <v>16</v>
      </c>
      <c r="L15" s="91">
        <v>7</v>
      </c>
      <c r="M15" s="91">
        <v>5</v>
      </c>
      <c r="N15" s="91">
        <v>7</v>
      </c>
    </row>
    <row r="16" spans="1:14" x14ac:dyDescent="0.3">
      <c r="A16" s="90"/>
      <c r="B16" s="91">
        <v>14</v>
      </c>
      <c r="C16" s="91">
        <v>1979637</v>
      </c>
      <c r="D16" s="90" t="s">
        <v>93</v>
      </c>
      <c r="E16" s="91">
        <v>44</v>
      </c>
      <c r="F16" s="91">
        <v>1</v>
      </c>
      <c r="G16" s="91">
        <v>90</v>
      </c>
      <c r="H16" s="91">
        <v>4</v>
      </c>
      <c r="I16" s="91">
        <v>5741</v>
      </c>
      <c r="J16" s="91">
        <v>4</v>
      </c>
      <c r="K16" s="91">
        <v>1</v>
      </c>
      <c r="L16" s="91">
        <v>4</v>
      </c>
      <c r="M16" s="91">
        <v>4</v>
      </c>
      <c r="N16" s="91">
        <v>7</v>
      </c>
    </row>
    <row r="17" spans="1:14" x14ac:dyDescent="0.3">
      <c r="A17" s="90"/>
      <c r="B17" s="91">
        <v>15</v>
      </c>
      <c r="C17" s="91">
        <v>1946634</v>
      </c>
      <c r="D17" s="90" t="s">
        <v>94</v>
      </c>
      <c r="E17" s="91">
        <v>46</v>
      </c>
      <c r="F17" s="91">
        <v>7</v>
      </c>
      <c r="G17" s="91">
        <v>75</v>
      </c>
      <c r="H17" s="91">
        <v>5</v>
      </c>
      <c r="I17" s="91">
        <v>13465</v>
      </c>
      <c r="J17" s="91">
        <v>8</v>
      </c>
      <c r="K17" s="91">
        <v>27</v>
      </c>
      <c r="L17" s="91">
        <v>0</v>
      </c>
      <c r="M17" s="91">
        <v>6</v>
      </c>
      <c r="N17" s="91">
        <v>2</v>
      </c>
    </row>
    <row r="18" spans="1:14" x14ac:dyDescent="0.3">
      <c r="A18" s="90"/>
      <c r="B18" s="91">
        <v>16</v>
      </c>
      <c r="C18" s="91">
        <v>1973088</v>
      </c>
      <c r="D18" s="90" t="s">
        <v>95</v>
      </c>
      <c r="E18" s="91">
        <v>23</v>
      </c>
      <c r="F18" s="91">
        <v>8</v>
      </c>
      <c r="G18" s="91">
        <v>32</v>
      </c>
      <c r="H18" s="91">
        <v>3</v>
      </c>
      <c r="I18" s="91">
        <v>9074</v>
      </c>
      <c r="J18" s="91">
        <v>10</v>
      </c>
      <c r="K18" s="91">
        <v>20</v>
      </c>
      <c r="L18" s="91">
        <v>6</v>
      </c>
      <c r="M18" s="91">
        <v>4</v>
      </c>
      <c r="N18" s="91">
        <v>2</v>
      </c>
    </row>
    <row r="19" spans="1:14" x14ac:dyDescent="0.3">
      <c r="A19" s="90"/>
      <c r="B19" s="91">
        <v>17</v>
      </c>
      <c r="C19" s="91">
        <v>2079552</v>
      </c>
      <c r="D19" s="90" t="s">
        <v>96</v>
      </c>
      <c r="E19" s="91">
        <v>60</v>
      </c>
      <c r="F19" s="91">
        <v>11</v>
      </c>
      <c r="G19" s="91">
        <v>38</v>
      </c>
      <c r="H19" s="91">
        <v>5</v>
      </c>
      <c r="I19" s="91">
        <v>14580</v>
      </c>
      <c r="J19" s="91">
        <v>4</v>
      </c>
      <c r="K19" s="91">
        <v>26</v>
      </c>
      <c r="L19" s="91">
        <v>6</v>
      </c>
      <c r="M19" s="91">
        <v>2</v>
      </c>
      <c r="N19" s="91">
        <v>2</v>
      </c>
    </row>
    <row r="20" spans="1:14" x14ac:dyDescent="0.3">
      <c r="A20" s="90"/>
      <c r="B20" s="91">
        <v>18</v>
      </c>
      <c r="C20" s="91">
        <v>1945184</v>
      </c>
      <c r="D20" s="90" t="s">
        <v>97</v>
      </c>
      <c r="E20" s="91">
        <v>41</v>
      </c>
      <c r="F20" s="91">
        <v>9</v>
      </c>
      <c r="G20" s="91">
        <v>39</v>
      </c>
      <c r="H20" s="91">
        <v>1</v>
      </c>
      <c r="I20" s="91">
        <v>13818</v>
      </c>
      <c r="J20" s="91">
        <v>9</v>
      </c>
      <c r="K20" s="91">
        <v>8</v>
      </c>
      <c r="L20" s="91">
        <v>0</v>
      </c>
      <c r="M20" s="91">
        <v>2</v>
      </c>
      <c r="N20" s="91">
        <v>5</v>
      </c>
    </row>
    <row r="21" spans="1:14" x14ac:dyDescent="0.3">
      <c r="A21" s="90"/>
      <c r="B21" s="91">
        <v>19</v>
      </c>
      <c r="C21" s="91">
        <v>2036269</v>
      </c>
      <c r="D21" s="90" t="s">
        <v>98</v>
      </c>
      <c r="E21" s="91">
        <v>60</v>
      </c>
      <c r="F21" s="91">
        <v>6</v>
      </c>
      <c r="G21" s="91">
        <v>15</v>
      </c>
      <c r="H21" s="91">
        <v>0</v>
      </c>
      <c r="I21" s="91">
        <v>3954</v>
      </c>
      <c r="J21" s="91">
        <v>7</v>
      </c>
      <c r="K21" s="91">
        <v>6</v>
      </c>
      <c r="L21" s="91">
        <v>0</v>
      </c>
      <c r="M21" s="91">
        <v>1</v>
      </c>
      <c r="N21" s="91">
        <v>5</v>
      </c>
    </row>
    <row r="22" spans="1:14" x14ac:dyDescent="0.3">
      <c r="A22" s="90"/>
      <c r="B22" s="91">
        <v>20</v>
      </c>
      <c r="C22" s="91">
        <v>1961036</v>
      </c>
      <c r="D22" s="90" t="s">
        <v>99</v>
      </c>
      <c r="E22" s="91">
        <v>29</v>
      </c>
      <c r="F22" s="91">
        <v>5</v>
      </c>
      <c r="G22" s="91">
        <v>66</v>
      </c>
      <c r="H22" s="91">
        <v>1</v>
      </c>
      <c r="I22" s="91">
        <v>3422</v>
      </c>
      <c r="J22" s="91">
        <v>9</v>
      </c>
      <c r="K22" s="91">
        <v>19</v>
      </c>
      <c r="L22" s="91">
        <v>6</v>
      </c>
      <c r="M22" s="91">
        <v>1</v>
      </c>
      <c r="N22" s="91">
        <v>6</v>
      </c>
    </row>
    <row r="23" spans="1:14" x14ac:dyDescent="0.3">
      <c r="A23" s="90"/>
      <c r="B23" s="91">
        <v>21</v>
      </c>
      <c r="C23" s="91">
        <v>1964215</v>
      </c>
      <c r="D23" s="90" t="s">
        <v>100</v>
      </c>
      <c r="E23" s="91">
        <v>23</v>
      </c>
      <c r="F23" s="91">
        <v>7</v>
      </c>
      <c r="G23" s="91">
        <v>71</v>
      </c>
      <c r="H23" s="91">
        <v>3</v>
      </c>
      <c r="I23" s="91">
        <v>14986</v>
      </c>
      <c r="J23" s="91">
        <v>4</v>
      </c>
      <c r="K23" s="91">
        <v>5</v>
      </c>
      <c r="L23" s="91">
        <v>2</v>
      </c>
      <c r="M23" s="91">
        <v>2</v>
      </c>
      <c r="N23" s="91">
        <v>7</v>
      </c>
    </row>
    <row r="24" spans="1:14" x14ac:dyDescent="0.3">
      <c r="A24" s="90"/>
      <c r="B24" s="91">
        <v>22</v>
      </c>
      <c r="C24" s="91">
        <v>1949587</v>
      </c>
      <c r="D24" s="90" t="s">
        <v>101</v>
      </c>
      <c r="E24" s="91">
        <v>34</v>
      </c>
      <c r="F24" s="91">
        <v>12</v>
      </c>
      <c r="G24" s="91">
        <v>22</v>
      </c>
      <c r="H24" s="91">
        <v>4</v>
      </c>
      <c r="I24" s="91">
        <v>6531</v>
      </c>
      <c r="J24" s="91">
        <v>9</v>
      </c>
      <c r="K24" s="91">
        <v>7</v>
      </c>
      <c r="L24" s="91">
        <v>6</v>
      </c>
      <c r="M24" s="91">
        <v>7</v>
      </c>
      <c r="N24" s="91">
        <v>7</v>
      </c>
    </row>
    <row r="25" spans="1:14" x14ac:dyDescent="0.3">
      <c r="A25" s="90"/>
      <c r="B25" s="91">
        <v>23</v>
      </c>
      <c r="C25" s="91">
        <v>1951314</v>
      </c>
      <c r="D25" s="90" t="s">
        <v>102</v>
      </c>
      <c r="E25" s="91">
        <v>36</v>
      </c>
      <c r="F25" s="91">
        <v>12</v>
      </c>
      <c r="G25" s="91">
        <v>54</v>
      </c>
      <c r="H25" s="91">
        <v>2</v>
      </c>
      <c r="I25" s="91">
        <v>9576</v>
      </c>
      <c r="J25" s="91">
        <v>8</v>
      </c>
      <c r="K25" s="91">
        <v>29</v>
      </c>
      <c r="L25" s="91">
        <v>3</v>
      </c>
      <c r="M25" s="91">
        <v>7</v>
      </c>
      <c r="N25" s="91">
        <v>2</v>
      </c>
    </row>
    <row r="26" spans="1:14" x14ac:dyDescent="0.3">
      <c r="A26" s="90"/>
      <c r="B26" s="91">
        <v>24</v>
      </c>
      <c r="C26" s="91">
        <v>1869212</v>
      </c>
      <c r="D26" s="90" t="s">
        <v>103</v>
      </c>
      <c r="E26" s="91">
        <v>27</v>
      </c>
      <c r="F26" s="91">
        <v>11</v>
      </c>
      <c r="G26" s="91">
        <v>27</v>
      </c>
      <c r="H26" s="91">
        <v>5</v>
      </c>
      <c r="I26" s="91">
        <v>9204</v>
      </c>
      <c r="J26" s="91">
        <v>6</v>
      </c>
      <c r="K26" s="91">
        <v>8</v>
      </c>
      <c r="L26" s="91">
        <v>4</v>
      </c>
      <c r="M26" s="91">
        <v>6</v>
      </c>
      <c r="N26" s="91">
        <v>2</v>
      </c>
    </row>
    <row r="27" spans="1:14" x14ac:dyDescent="0.3">
      <c r="A27" s="90"/>
      <c r="B27" s="91">
        <v>25</v>
      </c>
      <c r="C27" s="91">
        <v>1859608</v>
      </c>
      <c r="D27" s="90" t="s">
        <v>104</v>
      </c>
      <c r="E27" s="91">
        <v>38</v>
      </c>
      <c r="F27" s="91">
        <v>1</v>
      </c>
      <c r="G27" s="91">
        <v>76</v>
      </c>
      <c r="H27" s="91">
        <v>1</v>
      </c>
      <c r="I27" s="91">
        <v>14235</v>
      </c>
      <c r="J27" s="91">
        <v>10</v>
      </c>
      <c r="K27" s="91">
        <v>14</v>
      </c>
      <c r="L27" s="91">
        <v>2</v>
      </c>
      <c r="M27" s="91">
        <v>3</v>
      </c>
      <c r="N27" s="91">
        <v>6</v>
      </c>
    </row>
    <row r="28" spans="1:14" x14ac:dyDescent="0.3">
      <c r="A28" s="90"/>
      <c r="B28" s="91">
        <v>26</v>
      </c>
      <c r="C28" s="91">
        <v>1982913</v>
      </c>
      <c r="D28" s="90" t="s">
        <v>105</v>
      </c>
      <c r="E28" s="91">
        <v>55</v>
      </c>
      <c r="F28" s="91">
        <v>1</v>
      </c>
      <c r="G28" s="91">
        <v>82</v>
      </c>
      <c r="H28" s="91">
        <v>4</v>
      </c>
      <c r="I28" s="91">
        <v>9171</v>
      </c>
      <c r="J28" s="91">
        <v>0</v>
      </c>
      <c r="K28" s="91">
        <v>7</v>
      </c>
      <c r="L28" s="91">
        <v>5</v>
      </c>
      <c r="M28" s="91">
        <v>7</v>
      </c>
      <c r="N28" s="91">
        <v>5</v>
      </c>
    </row>
    <row r="29" spans="1:14" x14ac:dyDescent="0.3">
      <c r="A29" s="90"/>
      <c r="B29" s="91">
        <v>27</v>
      </c>
      <c r="C29" s="91">
        <v>1971472</v>
      </c>
      <c r="D29" s="90" t="s">
        <v>106</v>
      </c>
      <c r="E29" s="91">
        <v>41</v>
      </c>
      <c r="F29" s="91">
        <v>7</v>
      </c>
      <c r="G29" s="91">
        <v>105</v>
      </c>
      <c r="H29" s="91">
        <v>5</v>
      </c>
      <c r="I29" s="91">
        <v>6084</v>
      </c>
      <c r="J29" s="91">
        <v>3</v>
      </c>
      <c r="K29" s="91">
        <v>17</v>
      </c>
      <c r="L29" s="91">
        <v>0</v>
      </c>
      <c r="M29" s="91">
        <v>5</v>
      </c>
      <c r="N29" s="91">
        <v>7</v>
      </c>
    </row>
    <row r="30" spans="1:14" x14ac:dyDescent="0.3">
      <c r="A30" s="90"/>
      <c r="B30" s="91">
        <v>28</v>
      </c>
      <c r="C30" s="91">
        <v>1946648</v>
      </c>
      <c r="D30" s="90" t="s">
        <v>107</v>
      </c>
      <c r="E30" s="91">
        <v>42</v>
      </c>
      <c r="F30" s="91">
        <v>4</v>
      </c>
      <c r="G30" s="91">
        <v>107</v>
      </c>
      <c r="H30" s="91">
        <v>4</v>
      </c>
      <c r="I30" s="91">
        <v>8143</v>
      </c>
      <c r="J30" s="91">
        <v>6</v>
      </c>
      <c r="K30" s="91">
        <v>29</v>
      </c>
      <c r="L30" s="91">
        <v>1</v>
      </c>
      <c r="M30" s="91">
        <v>2</v>
      </c>
      <c r="N30" s="91">
        <v>2</v>
      </c>
    </row>
    <row r="31" spans="1:14" x14ac:dyDescent="0.3">
      <c r="A31" s="90"/>
      <c r="B31" s="91">
        <v>29</v>
      </c>
      <c r="C31" s="91">
        <v>1945777</v>
      </c>
      <c r="D31" s="90" t="s">
        <v>108</v>
      </c>
      <c r="E31" s="91">
        <v>37</v>
      </c>
      <c r="F31" s="91">
        <v>10</v>
      </c>
      <c r="G31" s="91">
        <v>84</v>
      </c>
      <c r="H31" s="91">
        <v>5</v>
      </c>
      <c r="I31" s="91">
        <v>6268</v>
      </c>
      <c r="J31" s="91">
        <v>3</v>
      </c>
      <c r="K31" s="91">
        <v>30</v>
      </c>
      <c r="L31" s="91">
        <v>2</v>
      </c>
      <c r="M31" s="91">
        <v>6</v>
      </c>
      <c r="N31" s="91">
        <v>2</v>
      </c>
    </row>
    <row r="32" spans="1:14" x14ac:dyDescent="0.3">
      <c r="A32" s="90"/>
      <c r="B32" s="91">
        <v>30</v>
      </c>
      <c r="C32" s="91">
        <v>1840214</v>
      </c>
      <c r="D32" s="90" t="s">
        <v>109</v>
      </c>
      <c r="E32" s="91">
        <v>53</v>
      </c>
      <c r="F32" s="91">
        <v>7</v>
      </c>
      <c r="G32" s="91">
        <v>6</v>
      </c>
      <c r="H32" s="91">
        <v>1</v>
      </c>
      <c r="I32" s="91">
        <v>3267</v>
      </c>
      <c r="J32" s="91">
        <v>9</v>
      </c>
      <c r="K32" s="91">
        <v>23</v>
      </c>
      <c r="L32" s="91">
        <v>6</v>
      </c>
      <c r="M32" s="91">
        <v>5</v>
      </c>
      <c r="N32" s="91">
        <v>2</v>
      </c>
    </row>
    <row r="33" spans="1:14" x14ac:dyDescent="0.3">
      <c r="A33" s="90"/>
      <c r="B33" s="91">
        <v>31</v>
      </c>
      <c r="C33" s="91">
        <v>1961925</v>
      </c>
      <c r="D33" s="90" t="s">
        <v>110</v>
      </c>
      <c r="E33" s="91">
        <v>54</v>
      </c>
      <c r="F33" s="91">
        <v>2</v>
      </c>
      <c r="G33" s="91">
        <v>100</v>
      </c>
      <c r="H33" s="91">
        <v>0</v>
      </c>
      <c r="I33" s="91">
        <v>6537</v>
      </c>
      <c r="J33" s="91">
        <v>6</v>
      </c>
      <c r="K33" s="91">
        <v>13</v>
      </c>
      <c r="L33" s="91">
        <v>5</v>
      </c>
      <c r="M33" s="91">
        <v>3</v>
      </c>
      <c r="N33" s="91">
        <v>4</v>
      </c>
    </row>
    <row r="34" spans="1:14" x14ac:dyDescent="0.3">
      <c r="A34" s="90"/>
      <c r="B34" s="91">
        <v>32</v>
      </c>
      <c r="C34" s="91">
        <v>1731232</v>
      </c>
      <c r="D34" s="90" t="s">
        <v>111</v>
      </c>
      <c r="E34" s="91">
        <v>28</v>
      </c>
      <c r="F34" s="91">
        <v>7</v>
      </c>
      <c r="G34" s="91">
        <v>13</v>
      </c>
      <c r="H34" s="91">
        <v>4</v>
      </c>
      <c r="I34" s="91">
        <v>11412</v>
      </c>
      <c r="J34" s="91">
        <v>1</v>
      </c>
      <c r="K34" s="91">
        <v>16</v>
      </c>
      <c r="L34" s="91">
        <v>5</v>
      </c>
      <c r="M34" s="91">
        <v>4</v>
      </c>
      <c r="N34" s="91">
        <v>3</v>
      </c>
    </row>
    <row r="35" spans="1:14" x14ac:dyDescent="0.3">
      <c r="A35" s="90"/>
      <c r="B35" s="91">
        <v>33</v>
      </c>
      <c r="C35" s="91">
        <v>1591414</v>
      </c>
      <c r="D35" s="90" t="s">
        <v>112</v>
      </c>
      <c r="E35" s="91">
        <v>39</v>
      </c>
      <c r="F35" s="91">
        <v>1</v>
      </c>
      <c r="G35" s="91">
        <v>5</v>
      </c>
      <c r="H35" s="91">
        <v>1</v>
      </c>
      <c r="I35" s="91">
        <v>10815</v>
      </c>
      <c r="J35" s="91">
        <v>8</v>
      </c>
      <c r="K35" s="91">
        <v>23</v>
      </c>
      <c r="L35" s="91">
        <v>7</v>
      </c>
      <c r="M35" s="91">
        <v>7</v>
      </c>
      <c r="N35" s="91">
        <v>1</v>
      </c>
    </row>
    <row r="36" spans="1:14" x14ac:dyDescent="0.3">
      <c r="A36" s="90"/>
      <c r="B36" s="91">
        <v>34</v>
      </c>
      <c r="C36" s="91">
        <v>1959441</v>
      </c>
      <c r="D36" s="90" t="s">
        <v>113</v>
      </c>
      <c r="E36" s="91">
        <v>60</v>
      </c>
      <c r="F36" s="91">
        <v>9</v>
      </c>
      <c r="G36" s="91">
        <v>131</v>
      </c>
      <c r="H36" s="91">
        <v>3</v>
      </c>
      <c r="I36" s="91">
        <v>10060</v>
      </c>
      <c r="J36" s="91">
        <v>9</v>
      </c>
      <c r="K36" s="91">
        <v>0</v>
      </c>
      <c r="L36" s="91">
        <v>1</v>
      </c>
      <c r="M36" s="91">
        <v>1</v>
      </c>
      <c r="N36" s="91">
        <v>4</v>
      </c>
    </row>
    <row r="37" spans="1:14" x14ac:dyDescent="0.3">
      <c r="A37" s="90"/>
      <c r="B37" s="91">
        <v>35</v>
      </c>
      <c r="C37" s="91">
        <v>1960798</v>
      </c>
      <c r="D37" s="90" t="s">
        <v>114</v>
      </c>
      <c r="E37" s="91">
        <v>30</v>
      </c>
      <c r="F37" s="91">
        <v>3</v>
      </c>
      <c r="G37" s="91">
        <v>100</v>
      </c>
      <c r="H37" s="91">
        <v>5</v>
      </c>
      <c r="I37" s="91">
        <v>4299</v>
      </c>
      <c r="J37" s="91">
        <v>4</v>
      </c>
      <c r="K37" s="91">
        <v>2</v>
      </c>
      <c r="L37" s="91">
        <v>1</v>
      </c>
      <c r="M37" s="91">
        <v>1</v>
      </c>
      <c r="N37" s="91">
        <v>6</v>
      </c>
    </row>
    <row r="38" spans="1:14" x14ac:dyDescent="0.3">
      <c r="A38" s="90"/>
      <c r="B38" s="91">
        <v>36</v>
      </c>
      <c r="C38" s="91">
        <v>1955747</v>
      </c>
      <c r="D38" s="90" t="s">
        <v>115</v>
      </c>
      <c r="E38" s="91">
        <v>59</v>
      </c>
      <c r="F38" s="91">
        <v>11</v>
      </c>
      <c r="G38" s="91">
        <v>143</v>
      </c>
      <c r="H38" s="91">
        <v>1</v>
      </c>
      <c r="I38" s="91">
        <v>13324</v>
      </c>
      <c r="J38" s="91">
        <v>5</v>
      </c>
      <c r="K38" s="91">
        <v>20</v>
      </c>
      <c r="L38" s="91">
        <v>4</v>
      </c>
      <c r="M38" s="91">
        <v>3</v>
      </c>
      <c r="N38" s="91">
        <v>5</v>
      </c>
    </row>
    <row r="39" spans="1:14" x14ac:dyDescent="0.3">
      <c r="A39" s="90"/>
      <c r="B39" s="91">
        <v>37</v>
      </c>
      <c r="C39" s="91">
        <v>1951847</v>
      </c>
      <c r="D39" s="90" t="s">
        <v>116</v>
      </c>
      <c r="E39" s="91">
        <v>27</v>
      </c>
      <c r="F39" s="91">
        <v>5</v>
      </c>
      <c r="G39" s="91">
        <v>52</v>
      </c>
      <c r="H39" s="91">
        <v>0</v>
      </c>
      <c r="I39" s="91">
        <v>3561</v>
      </c>
      <c r="J39" s="91">
        <v>3</v>
      </c>
      <c r="K39" s="91">
        <v>29</v>
      </c>
      <c r="L39" s="91">
        <v>1</v>
      </c>
      <c r="M39" s="91">
        <v>4</v>
      </c>
      <c r="N39" s="91">
        <v>6</v>
      </c>
    </row>
    <row r="40" spans="1:14" x14ac:dyDescent="0.3">
      <c r="A40" s="90"/>
      <c r="B40" s="91">
        <v>38</v>
      </c>
      <c r="C40" s="91">
        <v>1951276</v>
      </c>
      <c r="D40" s="90" t="s">
        <v>117</v>
      </c>
      <c r="E40" s="91">
        <v>52</v>
      </c>
      <c r="F40" s="91">
        <v>4</v>
      </c>
      <c r="G40" s="91">
        <v>140</v>
      </c>
      <c r="H40" s="91">
        <v>0</v>
      </c>
      <c r="I40" s="91">
        <v>3276</v>
      </c>
      <c r="J40" s="91">
        <v>8</v>
      </c>
      <c r="K40" s="91">
        <v>8</v>
      </c>
      <c r="L40" s="91">
        <v>6</v>
      </c>
      <c r="M40" s="91">
        <v>4</v>
      </c>
      <c r="N40" s="91">
        <v>4</v>
      </c>
    </row>
    <row r="41" spans="1:14" x14ac:dyDescent="0.3">
      <c r="A41" s="90"/>
      <c r="B41" s="91">
        <v>39</v>
      </c>
      <c r="C41" s="91">
        <v>2079084</v>
      </c>
      <c r="D41" s="90" t="s">
        <v>118</v>
      </c>
      <c r="E41" s="91">
        <v>18</v>
      </c>
      <c r="F41" s="91">
        <v>10</v>
      </c>
      <c r="G41" s="91">
        <v>75</v>
      </c>
      <c r="H41" s="91">
        <v>1</v>
      </c>
      <c r="I41" s="91">
        <v>9625</v>
      </c>
      <c r="J41" s="91">
        <v>0</v>
      </c>
      <c r="K41" s="91">
        <v>23</v>
      </c>
      <c r="L41" s="91">
        <v>1</v>
      </c>
      <c r="M41" s="91">
        <v>7</v>
      </c>
      <c r="N41" s="91">
        <v>8</v>
      </c>
    </row>
    <row r="42" spans="1:14" x14ac:dyDescent="0.3">
      <c r="A42" s="90"/>
      <c r="B42" s="91">
        <v>40</v>
      </c>
      <c r="C42" s="91">
        <v>1956121</v>
      </c>
      <c r="D42" s="90" t="s">
        <v>119</v>
      </c>
      <c r="E42" s="91">
        <v>31</v>
      </c>
      <c r="F42" s="91">
        <v>7</v>
      </c>
      <c r="G42" s="91">
        <v>126</v>
      </c>
      <c r="H42" s="91">
        <v>1</v>
      </c>
      <c r="I42" s="91">
        <v>10735</v>
      </c>
      <c r="J42" s="91">
        <v>1</v>
      </c>
      <c r="K42" s="91">
        <v>0</v>
      </c>
      <c r="L42" s="91">
        <v>7</v>
      </c>
      <c r="M42" s="91">
        <v>7</v>
      </c>
      <c r="N42" s="91">
        <v>7</v>
      </c>
    </row>
    <row r="43" spans="1:14" x14ac:dyDescent="0.3">
      <c r="A43" s="90"/>
      <c r="B43" s="91">
        <v>41</v>
      </c>
      <c r="C43" s="91">
        <v>1969650</v>
      </c>
      <c r="D43" s="90" t="s">
        <v>120</v>
      </c>
      <c r="E43" s="91">
        <v>59</v>
      </c>
      <c r="F43" s="91">
        <v>7</v>
      </c>
      <c r="G43" s="91">
        <v>19</v>
      </c>
      <c r="H43" s="91">
        <v>4</v>
      </c>
      <c r="I43" s="91">
        <v>5789</v>
      </c>
      <c r="J43" s="91">
        <v>4</v>
      </c>
      <c r="K43" s="91">
        <v>27</v>
      </c>
      <c r="L43" s="91">
        <v>6</v>
      </c>
      <c r="M43" s="91">
        <v>7</v>
      </c>
      <c r="N43" s="91">
        <v>6</v>
      </c>
    </row>
    <row r="44" spans="1:14" x14ac:dyDescent="0.3">
      <c r="A44" s="90"/>
      <c r="B44" s="91">
        <v>42</v>
      </c>
      <c r="C44" s="91">
        <v>1966592</v>
      </c>
      <c r="D44" s="90" t="s">
        <v>121</v>
      </c>
      <c r="E44" s="91">
        <v>45</v>
      </c>
      <c r="F44" s="91">
        <v>9</v>
      </c>
      <c r="G44" s="91">
        <v>78</v>
      </c>
      <c r="H44" s="91">
        <v>3</v>
      </c>
      <c r="I44" s="91">
        <v>7033</v>
      </c>
      <c r="J44" s="91">
        <v>6</v>
      </c>
      <c r="K44" s="91">
        <v>12</v>
      </c>
      <c r="L44" s="91">
        <v>2</v>
      </c>
      <c r="M44" s="91">
        <v>4</v>
      </c>
      <c r="N44" s="91">
        <v>1</v>
      </c>
    </row>
    <row r="45" spans="1:14" x14ac:dyDescent="0.3">
      <c r="A45" s="90"/>
      <c r="B45" s="91">
        <v>43</v>
      </c>
      <c r="C45" s="91">
        <v>1870014</v>
      </c>
      <c r="D45" s="90" t="s">
        <v>122</v>
      </c>
      <c r="E45" s="91">
        <v>57</v>
      </c>
      <c r="F45" s="91">
        <v>12</v>
      </c>
      <c r="G45" s="91">
        <v>136</v>
      </c>
      <c r="H45" s="91">
        <v>3</v>
      </c>
      <c r="I45" s="91">
        <v>10384</v>
      </c>
      <c r="J45" s="91">
        <v>2</v>
      </c>
      <c r="K45" s="91">
        <v>18</v>
      </c>
      <c r="L45" s="91">
        <v>3</v>
      </c>
      <c r="M45" s="91">
        <v>2</v>
      </c>
      <c r="N45" s="91">
        <v>6</v>
      </c>
    </row>
    <row r="46" spans="1:14" x14ac:dyDescent="0.3">
      <c r="A46" s="90"/>
      <c r="B46" s="91">
        <v>44</v>
      </c>
      <c r="C46" s="91">
        <v>1971805</v>
      </c>
      <c r="D46" s="90" t="s">
        <v>123</v>
      </c>
      <c r="E46" s="91">
        <v>51</v>
      </c>
      <c r="F46" s="91">
        <v>12</v>
      </c>
      <c r="G46" s="91">
        <v>143</v>
      </c>
      <c r="H46" s="91">
        <v>0</v>
      </c>
      <c r="I46" s="91">
        <v>9049</v>
      </c>
      <c r="J46" s="91">
        <v>3</v>
      </c>
      <c r="K46" s="91">
        <v>5</v>
      </c>
      <c r="L46" s="91">
        <v>4</v>
      </c>
      <c r="M46" s="91">
        <v>4</v>
      </c>
      <c r="N46" s="91">
        <v>2</v>
      </c>
    </row>
    <row r="47" spans="1:14" x14ac:dyDescent="0.3">
      <c r="A47" s="90"/>
      <c r="B47" s="91">
        <v>45</v>
      </c>
      <c r="C47" s="91">
        <v>1959417</v>
      </c>
      <c r="D47" s="90" t="s">
        <v>124</v>
      </c>
      <c r="E47" s="91">
        <v>25</v>
      </c>
      <c r="F47" s="91">
        <v>4</v>
      </c>
      <c r="G47" s="91">
        <v>115</v>
      </c>
      <c r="H47" s="91">
        <v>4</v>
      </c>
      <c r="I47" s="91">
        <v>10491</v>
      </c>
      <c r="J47" s="91">
        <v>1</v>
      </c>
      <c r="K47" s="91">
        <v>30</v>
      </c>
      <c r="L47" s="91">
        <v>5</v>
      </c>
      <c r="M47" s="91">
        <v>3</v>
      </c>
      <c r="N47" s="91">
        <v>2</v>
      </c>
    </row>
    <row r="48" spans="1:14" x14ac:dyDescent="0.3">
      <c r="A48" s="90"/>
      <c r="B48" s="91">
        <v>46</v>
      </c>
      <c r="C48" s="91">
        <v>1915440</v>
      </c>
      <c r="D48" s="90" t="s">
        <v>125</v>
      </c>
      <c r="E48" s="91">
        <v>19</v>
      </c>
      <c r="F48" s="91">
        <v>5</v>
      </c>
      <c r="G48" s="91">
        <v>75</v>
      </c>
      <c r="H48" s="91">
        <v>4</v>
      </c>
      <c r="I48" s="91">
        <v>7373</v>
      </c>
      <c r="J48" s="91">
        <v>9</v>
      </c>
      <c r="K48" s="91">
        <v>26</v>
      </c>
      <c r="L48" s="91">
        <v>4</v>
      </c>
      <c r="M48" s="91">
        <v>7</v>
      </c>
      <c r="N48" s="91">
        <v>2</v>
      </c>
    </row>
    <row r="49" spans="1:24" x14ac:dyDescent="0.3">
      <c r="A49" s="90"/>
      <c r="B49" s="91">
        <v>47</v>
      </c>
      <c r="C49" s="91">
        <v>2079609</v>
      </c>
      <c r="D49" s="90" t="s">
        <v>126</v>
      </c>
      <c r="E49" s="91">
        <v>23</v>
      </c>
      <c r="F49" s="91">
        <v>11</v>
      </c>
      <c r="G49" s="91">
        <v>94</v>
      </c>
      <c r="H49" s="91">
        <v>3</v>
      </c>
      <c r="I49" s="91">
        <v>7224</v>
      </c>
      <c r="J49" s="91">
        <v>8</v>
      </c>
      <c r="K49" s="91">
        <v>7</v>
      </c>
      <c r="L49" s="91">
        <v>1</v>
      </c>
      <c r="M49" s="91">
        <v>7</v>
      </c>
      <c r="N49" s="91">
        <v>4</v>
      </c>
    </row>
    <row r="50" spans="1:24" x14ac:dyDescent="0.3">
      <c r="A50" s="90"/>
      <c r="B50" s="91">
        <v>48</v>
      </c>
      <c r="C50" s="91">
        <v>1967787</v>
      </c>
      <c r="D50" s="90" t="s">
        <v>127</v>
      </c>
      <c r="E50" s="91">
        <v>50</v>
      </c>
      <c r="F50" s="91">
        <v>8</v>
      </c>
      <c r="G50" s="91">
        <v>49</v>
      </c>
      <c r="H50" s="91">
        <v>3</v>
      </c>
      <c r="I50" s="91">
        <v>12487</v>
      </c>
      <c r="J50" s="91">
        <v>0</v>
      </c>
      <c r="K50" s="91">
        <v>25</v>
      </c>
      <c r="L50" s="91">
        <v>0</v>
      </c>
      <c r="M50" s="91">
        <v>4</v>
      </c>
      <c r="N50" s="91">
        <v>5</v>
      </c>
    </row>
    <row r="51" spans="1:24" x14ac:dyDescent="0.3">
      <c r="A51" s="90"/>
      <c r="B51" s="91">
        <v>49</v>
      </c>
      <c r="C51" s="91">
        <v>1946786</v>
      </c>
      <c r="D51" s="90" t="s">
        <v>128</v>
      </c>
      <c r="E51" s="91">
        <v>35</v>
      </c>
      <c r="F51" s="91">
        <v>3</v>
      </c>
      <c r="G51" s="91">
        <v>105</v>
      </c>
      <c r="H51" s="91">
        <v>0</v>
      </c>
      <c r="I51" s="91">
        <v>3314</v>
      </c>
      <c r="J51" s="91">
        <v>2</v>
      </c>
      <c r="K51" s="91">
        <v>25</v>
      </c>
      <c r="L51" s="91">
        <v>4</v>
      </c>
      <c r="M51" s="91">
        <v>3</v>
      </c>
      <c r="N51" s="91">
        <v>4</v>
      </c>
    </row>
    <row r="52" spans="1:24" x14ac:dyDescent="0.3">
      <c r="A52" s="90"/>
      <c r="B52" s="91">
        <v>50</v>
      </c>
      <c r="C52" s="91">
        <v>1962176</v>
      </c>
      <c r="D52" s="90" t="s">
        <v>129</v>
      </c>
      <c r="E52" s="91">
        <v>51</v>
      </c>
      <c r="F52" s="91">
        <v>6</v>
      </c>
      <c r="G52" s="91">
        <v>24</v>
      </c>
      <c r="H52" s="91">
        <v>4</v>
      </c>
      <c r="I52" s="91">
        <v>6116</v>
      </c>
      <c r="J52" s="91">
        <v>7</v>
      </c>
      <c r="K52" s="91">
        <v>19</v>
      </c>
      <c r="L52" s="91">
        <v>6</v>
      </c>
      <c r="M52" s="91">
        <v>7</v>
      </c>
      <c r="N52" s="91">
        <v>1</v>
      </c>
    </row>
    <row r="54" spans="1:24" x14ac:dyDescent="0.3">
      <c r="A54" t="s">
        <v>29</v>
      </c>
      <c r="N54" t="s">
        <v>30</v>
      </c>
      <c r="Q54" t="s">
        <v>167</v>
      </c>
      <c r="S54" t="s">
        <v>168</v>
      </c>
      <c r="U54" t="s">
        <v>169</v>
      </c>
      <c r="X54" t="s">
        <v>166</v>
      </c>
    </row>
    <row r="55" spans="1:24" x14ac:dyDescent="0.3">
      <c r="B55" s="91">
        <v>18</v>
      </c>
      <c r="C55" s="91">
        <v>10</v>
      </c>
      <c r="D55" s="91">
        <v>75</v>
      </c>
      <c r="E55" s="91">
        <v>1</v>
      </c>
      <c r="F55" s="91">
        <v>9625</v>
      </c>
      <c r="G55" s="91">
        <v>0</v>
      </c>
      <c r="H55" s="91">
        <v>23</v>
      </c>
      <c r="I55" s="91">
        <v>1</v>
      </c>
      <c r="J55" s="91">
        <v>7</v>
      </c>
      <c r="K55" s="91">
        <v>8</v>
      </c>
      <c r="N55" s="93">
        <v>39</v>
      </c>
      <c r="Q55">
        <f t="shared" ref="Q55:Q86" si="0">ABS(B55-B56)+ABS(C55-C56)+ABS(D55-D56)+ABS(E55-E56)+ABS(F55-F56)+ABS(G55-G56)+ABS(H55-H56)+ABS(I55-I56)+ABS(J55-J56)+ABS((K55-K56))</f>
        <v>2282</v>
      </c>
      <c r="S55" t="str">
        <f>CONCATENATE(N55,"Y",N56)</f>
        <v>39Y46</v>
      </c>
    </row>
    <row r="56" spans="1:24" x14ac:dyDescent="0.3">
      <c r="B56" s="91">
        <v>19</v>
      </c>
      <c r="C56" s="91">
        <v>5</v>
      </c>
      <c r="D56" s="91">
        <v>75</v>
      </c>
      <c r="E56" s="91">
        <v>4</v>
      </c>
      <c r="F56" s="91">
        <v>7373</v>
      </c>
      <c r="G56" s="91">
        <v>9</v>
      </c>
      <c r="H56" s="91">
        <v>26</v>
      </c>
      <c r="I56" s="91">
        <v>4</v>
      </c>
      <c r="J56" s="91">
        <v>7</v>
      </c>
      <c r="K56" s="91">
        <v>2</v>
      </c>
      <c r="N56" s="93">
        <v>46</v>
      </c>
      <c r="Q56">
        <f t="shared" si="0"/>
        <v>3842</v>
      </c>
      <c r="S56" t="str">
        <f t="shared" ref="S56:S103" si="1">CONCATENATE(N56,"Y",N57)</f>
        <v>46Y4</v>
      </c>
    </row>
    <row r="57" spans="1:24" x14ac:dyDescent="0.3">
      <c r="B57" s="91">
        <v>20</v>
      </c>
      <c r="C57" s="91">
        <v>1</v>
      </c>
      <c r="D57" s="91">
        <v>46</v>
      </c>
      <c r="E57" s="91">
        <v>1</v>
      </c>
      <c r="F57" s="91">
        <v>3585</v>
      </c>
      <c r="G57" s="91">
        <v>5</v>
      </c>
      <c r="H57" s="91">
        <v>19</v>
      </c>
      <c r="I57" s="91">
        <v>7</v>
      </c>
      <c r="J57" s="91">
        <v>5</v>
      </c>
      <c r="K57" s="91">
        <v>1</v>
      </c>
      <c r="N57" s="93">
        <v>4</v>
      </c>
      <c r="Q57">
        <f t="shared" si="0"/>
        <v>4176</v>
      </c>
      <c r="S57" t="str">
        <f t="shared" si="1"/>
        <v>4Y12</v>
      </c>
    </row>
    <row r="58" spans="1:24" x14ac:dyDescent="0.3">
      <c r="B58" s="91">
        <v>23</v>
      </c>
      <c r="C58" s="91">
        <v>11</v>
      </c>
      <c r="D58" s="91">
        <v>86</v>
      </c>
      <c r="E58" s="91">
        <v>3</v>
      </c>
      <c r="F58" s="91">
        <v>7682</v>
      </c>
      <c r="G58" s="91">
        <v>0</v>
      </c>
      <c r="H58" s="91">
        <v>12</v>
      </c>
      <c r="I58" s="91">
        <v>3</v>
      </c>
      <c r="J58" s="91">
        <v>7</v>
      </c>
      <c r="K58" s="91">
        <v>7</v>
      </c>
      <c r="N58" s="93">
        <v>12</v>
      </c>
      <c r="Q58">
        <f t="shared" si="0"/>
        <v>1478</v>
      </c>
      <c r="S58" t="str">
        <f t="shared" si="1"/>
        <v>12Y16</v>
      </c>
    </row>
    <row r="59" spans="1:24" x14ac:dyDescent="0.3">
      <c r="B59" s="91">
        <v>23</v>
      </c>
      <c r="C59" s="91">
        <v>8</v>
      </c>
      <c r="D59" s="91">
        <v>32</v>
      </c>
      <c r="E59" s="91">
        <v>3</v>
      </c>
      <c r="F59" s="91">
        <v>9074</v>
      </c>
      <c r="G59" s="91">
        <v>10</v>
      </c>
      <c r="H59" s="91">
        <v>20</v>
      </c>
      <c r="I59" s="91">
        <v>6</v>
      </c>
      <c r="J59" s="91">
        <v>4</v>
      </c>
      <c r="K59" s="91">
        <v>2</v>
      </c>
      <c r="N59" s="93">
        <v>16</v>
      </c>
      <c r="Q59">
        <f t="shared" si="0"/>
        <v>5984</v>
      </c>
      <c r="S59" t="str">
        <f t="shared" si="1"/>
        <v>16Y21</v>
      </c>
    </row>
    <row r="60" spans="1:24" x14ac:dyDescent="0.3">
      <c r="B60" s="91">
        <v>23</v>
      </c>
      <c r="C60" s="91">
        <v>7</v>
      </c>
      <c r="D60" s="91">
        <v>71</v>
      </c>
      <c r="E60" s="91">
        <v>3</v>
      </c>
      <c r="F60" s="91">
        <v>14986</v>
      </c>
      <c r="G60" s="91">
        <v>4</v>
      </c>
      <c r="H60" s="91">
        <v>5</v>
      </c>
      <c r="I60" s="91">
        <v>2</v>
      </c>
      <c r="J60" s="91">
        <v>2</v>
      </c>
      <c r="K60" s="91">
        <v>7</v>
      </c>
      <c r="N60" s="93">
        <v>21</v>
      </c>
      <c r="Q60">
        <f t="shared" si="0"/>
        <v>7804</v>
      </c>
      <c r="S60" t="str">
        <f t="shared" si="1"/>
        <v>21Y47</v>
      </c>
    </row>
    <row r="61" spans="1:24" x14ac:dyDescent="0.3">
      <c r="B61" s="91">
        <v>23</v>
      </c>
      <c r="C61" s="91">
        <v>11</v>
      </c>
      <c r="D61" s="91">
        <v>94</v>
      </c>
      <c r="E61" s="91">
        <v>3</v>
      </c>
      <c r="F61" s="91">
        <v>7224</v>
      </c>
      <c r="G61" s="91">
        <v>8</v>
      </c>
      <c r="H61" s="91">
        <v>7</v>
      </c>
      <c r="I61" s="91">
        <v>1</v>
      </c>
      <c r="J61" s="91">
        <v>7</v>
      </c>
      <c r="K61" s="91">
        <v>4</v>
      </c>
      <c r="N61" s="93">
        <v>47</v>
      </c>
      <c r="Q61">
        <f t="shared" si="0"/>
        <v>7469</v>
      </c>
      <c r="S61" t="str">
        <f t="shared" si="1"/>
        <v>47Y5</v>
      </c>
    </row>
    <row r="62" spans="1:24" x14ac:dyDescent="0.3">
      <c r="B62" s="91">
        <v>25</v>
      </c>
      <c r="C62" s="91">
        <v>10</v>
      </c>
      <c r="D62" s="91">
        <v>79</v>
      </c>
      <c r="E62" s="91">
        <v>2</v>
      </c>
      <c r="F62" s="91">
        <v>14654</v>
      </c>
      <c r="G62" s="91">
        <v>3</v>
      </c>
      <c r="H62" s="91">
        <v>16</v>
      </c>
      <c r="I62" s="91">
        <v>0</v>
      </c>
      <c r="J62" s="91">
        <v>2</v>
      </c>
      <c r="K62" s="91">
        <v>4</v>
      </c>
      <c r="N62" s="93">
        <v>5</v>
      </c>
      <c r="Q62">
        <f t="shared" si="0"/>
        <v>4231</v>
      </c>
      <c r="S62" t="str">
        <f t="shared" si="1"/>
        <v>5Y45</v>
      </c>
      <c r="U62" s="94"/>
    </row>
    <row r="63" spans="1:24" x14ac:dyDescent="0.3">
      <c r="B63" s="91">
        <v>25</v>
      </c>
      <c r="C63" s="91">
        <v>4</v>
      </c>
      <c r="D63" s="91">
        <v>115</v>
      </c>
      <c r="E63" s="91">
        <v>4</v>
      </c>
      <c r="F63" s="91">
        <v>10491</v>
      </c>
      <c r="G63" s="91">
        <v>1</v>
      </c>
      <c r="H63" s="91">
        <v>30</v>
      </c>
      <c r="I63" s="91">
        <v>5</v>
      </c>
      <c r="J63" s="91">
        <v>3</v>
      </c>
      <c r="K63" s="91">
        <v>2</v>
      </c>
      <c r="N63" s="93">
        <v>45</v>
      </c>
      <c r="Q63">
        <f t="shared" si="0"/>
        <v>1416</v>
      </c>
      <c r="S63" t="str">
        <f t="shared" si="1"/>
        <v>45Y24</v>
      </c>
    </row>
    <row r="64" spans="1:24" x14ac:dyDescent="0.3">
      <c r="B64" s="91">
        <v>27</v>
      </c>
      <c r="C64" s="91">
        <v>11</v>
      </c>
      <c r="D64" s="91">
        <v>27</v>
      </c>
      <c r="E64" s="91">
        <v>5</v>
      </c>
      <c r="F64" s="91">
        <v>9204</v>
      </c>
      <c r="G64" s="91">
        <v>6</v>
      </c>
      <c r="H64" s="91">
        <v>8</v>
      </c>
      <c r="I64" s="91">
        <v>4</v>
      </c>
      <c r="J64" s="91">
        <v>6</v>
      </c>
      <c r="K64" s="91">
        <v>2</v>
      </c>
      <c r="N64" s="93">
        <v>24</v>
      </c>
      <c r="Q64">
        <f t="shared" si="0"/>
        <v>5712</v>
      </c>
      <c r="S64" t="str">
        <f t="shared" si="1"/>
        <v>24Y37</v>
      </c>
    </row>
    <row r="65" spans="2:19" x14ac:dyDescent="0.3">
      <c r="B65" s="91">
        <v>27</v>
      </c>
      <c r="C65" s="91">
        <v>5</v>
      </c>
      <c r="D65" s="91">
        <v>52</v>
      </c>
      <c r="E65" s="91">
        <v>0</v>
      </c>
      <c r="F65" s="91">
        <v>3561</v>
      </c>
      <c r="G65" s="91">
        <v>3</v>
      </c>
      <c r="H65" s="91">
        <v>29</v>
      </c>
      <c r="I65" s="91">
        <v>1</v>
      </c>
      <c r="J65" s="91">
        <v>4</v>
      </c>
      <c r="K65" s="91">
        <v>6</v>
      </c>
      <c r="N65" s="93">
        <v>37</v>
      </c>
      <c r="Q65">
        <f t="shared" si="0"/>
        <v>7919</v>
      </c>
      <c r="S65" t="str">
        <f t="shared" si="1"/>
        <v>37Y32</v>
      </c>
    </row>
    <row r="66" spans="2:19" x14ac:dyDescent="0.3">
      <c r="B66" s="91">
        <v>28</v>
      </c>
      <c r="C66" s="91">
        <v>7</v>
      </c>
      <c r="D66" s="91">
        <v>13</v>
      </c>
      <c r="E66" s="91">
        <v>4</v>
      </c>
      <c r="F66" s="91">
        <v>11412</v>
      </c>
      <c r="G66" s="91">
        <v>1</v>
      </c>
      <c r="H66" s="91">
        <v>16</v>
      </c>
      <c r="I66" s="91">
        <v>5</v>
      </c>
      <c r="J66" s="91">
        <v>4</v>
      </c>
      <c r="K66" s="91">
        <v>3</v>
      </c>
      <c r="N66" s="93">
        <v>32</v>
      </c>
      <c r="Q66">
        <f t="shared" si="0"/>
        <v>8067</v>
      </c>
      <c r="S66" t="str">
        <f t="shared" si="1"/>
        <v>32Y20</v>
      </c>
    </row>
    <row r="67" spans="2:19" x14ac:dyDescent="0.3">
      <c r="B67" s="91">
        <v>29</v>
      </c>
      <c r="C67" s="91">
        <v>5</v>
      </c>
      <c r="D67" s="91">
        <v>66</v>
      </c>
      <c r="E67" s="91">
        <v>1</v>
      </c>
      <c r="F67" s="91">
        <v>3422</v>
      </c>
      <c r="G67" s="91">
        <v>9</v>
      </c>
      <c r="H67" s="91">
        <v>19</v>
      </c>
      <c r="I67" s="91">
        <v>6</v>
      </c>
      <c r="J67" s="91">
        <v>1</v>
      </c>
      <c r="K67" s="91">
        <v>6</v>
      </c>
      <c r="N67" s="93">
        <v>20</v>
      </c>
      <c r="Q67">
        <f t="shared" si="0"/>
        <v>945</v>
      </c>
      <c r="S67" t="str">
        <f t="shared" si="1"/>
        <v>20Y35</v>
      </c>
    </row>
    <row r="68" spans="2:19" x14ac:dyDescent="0.3">
      <c r="B68" s="91">
        <v>30</v>
      </c>
      <c r="C68" s="91">
        <v>3</v>
      </c>
      <c r="D68" s="91">
        <v>100</v>
      </c>
      <c r="E68" s="91">
        <v>5</v>
      </c>
      <c r="F68" s="91">
        <v>4299</v>
      </c>
      <c r="G68" s="91">
        <v>4</v>
      </c>
      <c r="H68" s="91">
        <v>2</v>
      </c>
      <c r="I68" s="91">
        <v>1</v>
      </c>
      <c r="J68" s="91">
        <v>1</v>
      </c>
      <c r="K68" s="91">
        <v>6</v>
      </c>
      <c r="N68" s="93">
        <v>35</v>
      </c>
      <c r="Q68">
        <f t="shared" si="0"/>
        <v>6489</v>
      </c>
      <c r="S68" t="str">
        <f t="shared" si="1"/>
        <v>35Y40</v>
      </c>
    </row>
    <row r="69" spans="2:19" x14ac:dyDescent="0.3">
      <c r="B69" s="91">
        <v>31</v>
      </c>
      <c r="C69" s="91">
        <v>7</v>
      </c>
      <c r="D69" s="91">
        <v>126</v>
      </c>
      <c r="E69" s="91">
        <v>1</v>
      </c>
      <c r="F69" s="91">
        <v>10735</v>
      </c>
      <c r="G69" s="91">
        <v>1</v>
      </c>
      <c r="H69" s="91">
        <v>0</v>
      </c>
      <c r="I69" s="91">
        <v>7</v>
      </c>
      <c r="J69" s="91">
        <v>7</v>
      </c>
      <c r="K69" s="91">
        <v>7</v>
      </c>
      <c r="N69" s="93">
        <v>40</v>
      </c>
      <c r="Q69">
        <f t="shared" si="0"/>
        <v>4231</v>
      </c>
      <c r="S69" t="str">
        <f t="shared" si="1"/>
        <v>40Y3</v>
      </c>
    </row>
    <row r="70" spans="2:19" x14ac:dyDescent="0.3">
      <c r="B70" s="91">
        <v>32</v>
      </c>
      <c r="C70" s="91">
        <v>12</v>
      </c>
      <c r="D70" s="91">
        <v>132</v>
      </c>
      <c r="E70" s="91">
        <v>0</v>
      </c>
      <c r="F70" s="91">
        <v>6555</v>
      </c>
      <c r="G70" s="91">
        <v>0</v>
      </c>
      <c r="H70" s="91">
        <v>28</v>
      </c>
      <c r="I70" s="91">
        <v>4</v>
      </c>
      <c r="J70" s="91">
        <v>3</v>
      </c>
      <c r="K70" s="91">
        <v>5</v>
      </c>
      <c r="N70" s="93">
        <v>3</v>
      </c>
      <c r="Q70">
        <f t="shared" si="0"/>
        <v>1491</v>
      </c>
      <c r="S70" t="str">
        <f t="shared" si="1"/>
        <v>3Y11</v>
      </c>
    </row>
    <row r="71" spans="2:19" x14ac:dyDescent="0.3">
      <c r="B71" s="91">
        <v>32</v>
      </c>
      <c r="C71" s="91">
        <v>6</v>
      </c>
      <c r="D71" s="91">
        <v>30</v>
      </c>
      <c r="E71" s="91">
        <v>3</v>
      </c>
      <c r="F71" s="91">
        <v>7899</v>
      </c>
      <c r="G71" s="91">
        <v>4</v>
      </c>
      <c r="H71" s="91">
        <v>6</v>
      </c>
      <c r="I71" s="91">
        <v>1</v>
      </c>
      <c r="J71" s="91">
        <v>7</v>
      </c>
      <c r="K71" s="91">
        <v>2</v>
      </c>
      <c r="N71" s="93">
        <v>11</v>
      </c>
      <c r="Q71">
        <f t="shared" si="0"/>
        <v>184</v>
      </c>
      <c r="S71" t="str">
        <f t="shared" si="1"/>
        <v>11Y7</v>
      </c>
    </row>
    <row r="72" spans="2:19" x14ac:dyDescent="0.3">
      <c r="B72" s="91">
        <v>33</v>
      </c>
      <c r="C72" s="91">
        <v>2</v>
      </c>
      <c r="D72" s="91">
        <v>107</v>
      </c>
      <c r="E72" s="91">
        <v>0</v>
      </c>
      <c r="F72" s="91">
        <v>7833</v>
      </c>
      <c r="G72" s="91">
        <v>8</v>
      </c>
      <c r="H72" s="91">
        <v>24</v>
      </c>
      <c r="I72" s="91">
        <v>4</v>
      </c>
      <c r="J72" s="91">
        <v>3</v>
      </c>
      <c r="K72" s="91">
        <v>6</v>
      </c>
      <c r="N72" s="93">
        <v>7</v>
      </c>
      <c r="Q72">
        <f t="shared" si="0"/>
        <v>1427</v>
      </c>
      <c r="S72" t="str">
        <f t="shared" si="1"/>
        <v>7Y22</v>
      </c>
    </row>
    <row r="73" spans="2:19" x14ac:dyDescent="0.3">
      <c r="B73" s="91">
        <v>34</v>
      </c>
      <c r="C73" s="91">
        <v>12</v>
      </c>
      <c r="D73" s="91">
        <v>22</v>
      </c>
      <c r="E73" s="91">
        <v>4</v>
      </c>
      <c r="F73" s="91">
        <v>6531</v>
      </c>
      <c r="G73" s="91">
        <v>9</v>
      </c>
      <c r="H73" s="91">
        <v>7</v>
      </c>
      <c r="I73" s="91">
        <v>6</v>
      </c>
      <c r="J73" s="91">
        <v>7</v>
      </c>
      <c r="K73" s="91">
        <v>7</v>
      </c>
      <c r="N73" s="93">
        <v>22</v>
      </c>
      <c r="Q73">
        <f t="shared" si="0"/>
        <v>3348</v>
      </c>
      <c r="S73" t="str">
        <f t="shared" si="1"/>
        <v>22Y49</v>
      </c>
    </row>
    <row r="74" spans="2:19" x14ac:dyDescent="0.3">
      <c r="B74" s="91">
        <v>35</v>
      </c>
      <c r="C74" s="91">
        <v>3</v>
      </c>
      <c r="D74" s="91">
        <v>105</v>
      </c>
      <c r="E74" s="91">
        <v>0</v>
      </c>
      <c r="F74" s="91">
        <v>3314</v>
      </c>
      <c r="G74" s="91">
        <v>2</v>
      </c>
      <c r="H74" s="91">
        <v>25</v>
      </c>
      <c r="I74" s="91">
        <v>4</v>
      </c>
      <c r="J74" s="91">
        <v>3</v>
      </c>
      <c r="K74" s="91">
        <v>4</v>
      </c>
      <c r="N74" s="93">
        <v>49</v>
      </c>
      <c r="Q74">
        <f t="shared" si="0"/>
        <v>2570</v>
      </c>
      <c r="S74" t="str">
        <f t="shared" si="1"/>
        <v>49Y9</v>
      </c>
    </row>
    <row r="75" spans="2:19" x14ac:dyDescent="0.3">
      <c r="B75" s="91">
        <v>36</v>
      </c>
      <c r="C75" s="91">
        <v>1</v>
      </c>
      <c r="D75" s="91">
        <v>33</v>
      </c>
      <c r="E75" s="91">
        <v>2</v>
      </c>
      <c r="F75" s="91">
        <v>5781</v>
      </c>
      <c r="G75" s="91">
        <v>6</v>
      </c>
      <c r="H75" s="91">
        <v>6</v>
      </c>
      <c r="I75" s="91">
        <v>2</v>
      </c>
      <c r="J75" s="91">
        <v>3</v>
      </c>
      <c r="K75" s="91">
        <v>5</v>
      </c>
      <c r="N75" s="93">
        <v>9</v>
      </c>
      <c r="Q75">
        <f t="shared" si="0"/>
        <v>3860</v>
      </c>
      <c r="S75" t="str">
        <f t="shared" si="1"/>
        <v>9Y23</v>
      </c>
    </row>
    <row r="76" spans="2:19" x14ac:dyDescent="0.3">
      <c r="B76" s="91">
        <v>36</v>
      </c>
      <c r="C76" s="91">
        <v>12</v>
      </c>
      <c r="D76" s="91">
        <v>54</v>
      </c>
      <c r="E76" s="91">
        <v>2</v>
      </c>
      <c r="F76" s="91">
        <v>9576</v>
      </c>
      <c r="G76" s="91">
        <v>8</v>
      </c>
      <c r="H76" s="91">
        <v>29</v>
      </c>
      <c r="I76" s="91">
        <v>3</v>
      </c>
      <c r="J76" s="91">
        <v>7</v>
      </c>
      <c r="K76" s="91">
        <v>2</v>
      </c>
      <c r="N76" s="93">
        <v>23</v>
      </c>
      <c r="Q76">
        <f t="shared" si="0"/>
        <v>3352</v>
      </c>
      <c r="S76" t="str">
        <f t="shared" si="1"/>
        <v>23Y29</v>
      </c>
    </row>
    <row r="77" spans="2:19" x14ac:dyDescent="0.3">
      <c r="B77" s="91">
        <v>37</v>
      </c>
      <c r="C77" s="91">
        <v>10</v>
      </c>
      <c r="D77" s="91">
        <v>84</v>
      </c>
      <c r="E77" s="91">
        <v>5</v>
      </c>
      <c r="F77" s="91">
        <v>6268</v>
      </c>
      <c r="G77" s="91">
        <v>3</v>
      </c>
      <c r="H77" s="91">
        <v>30</v>
      </c>
      <c r="I77" s="91">
        <v>2</v>
      </c>
      <c r="J77" s="91">
        <v>6</v>
      </c>
      <c r="K77" s="91">
        <v>2</v>
      </c>
      <c r="N77" s="93">
        <v>29</v>
      </c>
      <c r="Q77">
        <f t="shared" si="0"/>
        <v>8019</v>
      </c>
      <c r="S77" t="str">
        <f t="shared" si="1"/>
        <v>29Y25</v>
      </c>
    </row>
    <row r="78" spans="2:19" x14ac:dyDescent="0.3">
      <c r="B78" s="91">
        <v>38</v>
      </c>
      <c r="C78" s="91">
        <v>1</v>
      </c>
      <c r="D78" s="91">
        <v>76</v>
      </c>
      <c r="E78" s="91">
        <v>1</v>
      </c>
      <c r="F78" s="91">
        <v>14235</v>
      </c>
      <c r="G78" s="91">
        <v>10</v>
      </c>
      <c r="H78" s="91">
        <v>14</v>
      </c>
      <c r="I78" s="91">
        <v>2</v>
      </c>
      <c r="J78" s="91">
        <v>3</v>
      </c>
      <c r="K78" s="91">
        <v>6</v>
      </c>
      <c r="N78" s="93">
        <v>25</v>
      </c>
      <c r="Q78">
        <f t="shared" si="0"/>
        <v>3517</v>
      </c>
      <c r="S78" t="str">
        <f t="shared" si="1"/>
        <v>25Y33</v>
      </c>
    </row>
    <row r="79" spans="2:19" x14ac:dyDescent="0.3">
      <c r="B79" s="91">
        <v>39</v>
      </c>
      <c r="C79" s="91">
        <v>1</v>
      </c>
      <c r="D79" s="91">
        <v>5</v>
      </c>
      <c r="E79" s="91">
        <v>1</v>
      </c>
      <c r="F79" s="91">
        <v>10815</v>
      </c>
      <c r="G79" s="91">
        <v>8</v>
      </c>
      <c r="H79" s="91">
        <v>23</v>
      </c>
      <c r="I79" s="91">
        <v>7</v>
      </c>
      <c r="J79" s="91">
        <v>7</v>
      </c>
      <c r="K79" s="91">
        <v>1</v>
      </c>
      <c r="N79" s="93">
        <v>33</v>
      </c>
      <c r="Q79">
        <f t="shared" si="0"/>
        <v>3079</v>
      </c>
      <c r="S79" t="str">
        <f t="shared" si="1"/>
        <v>33Y18</v>
      </c>
    </row>
    <row r="80" spans="2:19" x14ac:dyDescent="0.3">
      <c r="B80" s="91">
        <v>41</v>
      </c>
      <c r="C80" s="91">
        <v>9</v>
      </c>
      <c r="D80" s="91">
        <v>39</v>
      </c>
      <c r="E80" s="91">
        <v>1</v>
      </c>
      <c r="F80" s="91">
        <v>13818</v>
      </c>
      <c r="G80" s="91">
        <v>9</v>
      </c>
      <c r="H80" s="91">
        <v>8</v>
      </c>
      <c r="I80" s="91">
        <v>0</v>
      </c>
      <c r="J80" s="91">
        <v>2</v>
      </c>
      <c r="K80" s="91">
        <v>5</v>
      </c>
      <c r="N80" s="93">
        <v>18</v>
      </c>
      <c r="Q80">
        <f t="shared" si="0"/>
        <v>7826</v>
      </c>
      <c r="S80" t="str">
        <f t="shared" si="1"/>
        <v>18Y27</v>
      </c>
    </row>
    <row r="81" spans="2:19" x14ac:dyDescent="0.3">
      <c r="B81" s="91">
        <v>41</v>
      </c>
      <c r="C81" s="91">
        <v>7</v>
      </c>
      <c r="D81" s="91">
        <v>105</v>
      </c>
      <c r="E81" s="91">
        <v>5</v>
      </c>
      <c r="F81" s="91">
        <v>6084</v>
      </c>
      <c r="G81" s="91">
        <v>3</v>
      </c>
      <c r="H81" s="91">
        <v>17</v>
      </c>
      <c r="I81" s="91">
        <v>0</v>
      </c>
      <c r="J81" s="91">
        <v>5</v>
      </c>
      <c r="K81" s="91">
        <v>7</v>
      </c>
      <c r="N81" s="93">
        <v>27</v>
      </c>
      <c r="Q81">
        <f t="shared" si="0"/>
        <v>2516</v>
      </c>
      <c r="S81" t="str">
        <f t="shared" si="1"/>
        <v>27Y1</v>
      </c>
    </row>
    <row r="82" spans="2:19" x14ac:dyDescent="0.3">
      <c r="B82" s="91">
        <v>42</v>
      </c>
      <c r="C82" s="91">
        <v>1</v>
      </c>
      <c r="D82" s="91">
        <v>140</v>
      </c>
      <c r="E82" s="91">
        <v>2</v>
      </c>
      <c r="F82" s="91">
        <v>3619</v>
      </c>
      <c r="G82" s="91">
        <v>5</v>
      </c>
      <c r="H82" s="91">
        <v>15</v>
      </c>
      <c r="I82" s="91">
        <v>1</v>
      </c>
      <c r="J82" s="91">
        <v>6</v>
      </c>
      <c r="K82" s="91">
        <v>7</v>
      </c>
      <c r="N82" s="93">
        <v>1</v>
      </c>
      <c r="Q82">
        <f t="shared" si="0"/>
        <v>4586</v>
      </c>
      <c r="S82" t="str">
        <f t="shared" si="1"/>
        <v>1Y28</v>
      </c>
    </row>
    <row r="83" spans="2:19" x14ac:dyDescent="0.3">
      <c r="B83" s="91">
        <v>42</v>
      </c>
      <c r="C83" s="91">
        <v>4</v>
      </c>
      <c r="D83" s="91">
        <v>107</v>
      </c>
      <c r="E83" s="91">
        <v>4</v>
      </c>
      <c r="F83" s="91">
        <v>8143</v>
      </c>
      <c r="G83" s="91">
        <v>6</v>
      </c>
      <c r="H83" s="91">
        <v>29</v>
      </c>
      <c r="I83" s="91">
        <v>1</v>
      </c>
      <c r="J83" s="91">
        <v>2</v>
      </c>
      <c r="K83" s="91">
        <v>2</v>
      </c>
      <c r="N83" s="93">
        <v>28</v>
      </c>
      <c r="Q83">
        <f t="shared" si="0"/>
        <v>6224</v>
      </c>
      <c r="S83" t="str">
        <f t="shared" si="1"/>
        <v>28Y2</v>
      </c>
    </row>
    <row r="84" spans="2:19" x14ac:dyDescent="0.3">
      <c r="B84" s="91">
        <v>43</v>
      </c>
      <c r="C84" s="91">
        <v>5</v>
      </c>
      <c r="D84" s="91">
        <v>60</v>
      </c>
      <c r="E84" s="91">
        <v>3</v>
      </c>
      <c r="F84" s="91">
        <v>14295</v>
      </c>
      <c r="G84" s="91">
        <v>1</v>
      </c>
      <c r="H84" s="91">
        <v>14</v>
      </c>
      <c r="I84" s="91">
        <v>2</v>
      </c>
      <c r="J84" s="91">
        <v>1</v>
      </c>
      <c r="K84" s="91">
        <v>2</v>
      </c>
      <c r="N84" s="93">
        <v>2</v>
      </c>
      <c r="Q84">
        <f t="shared" si="0"/>
        <v>8616</v>
      </c>
      <c r="S84" t="str">
        <f t="shared" si="1"/>
        <v>2Y14</v>
      </c>
    </row>
    <row r="85" spans="2:19" x14ac:dyDescent="0.3">
      <c r="B85" s="91">
        <v>44</v>
      </c>
      <c r="C85" s="91">
        <v>1</v>
      </c>
      <c r="D85" s="91">
        <v>90</v>
      </c>
      <c r="E85" s="91">
        <v>4</v>
      </c>
      <c r="F85" s="91">
        <v>5741</v>
      </c>
      <c r="G85" s="91">
        <v>4</v>
      </c>
      <c r="H85" s="91">
        <v>1</v>
      </c>
      <c r="I85" s="91">
        <v>4</v>
      </c>
      <c r="J85" s="91">
        <v>4</v>
      </c>
      <c r="K85" s="91">
        <v>7</v>
      </c>
      <c r="N85" s="93">
        <v>14</v>
      </c>
      <c r="Q85">
        <f t="shared" si="0"/>
        <v>1335</v>
      </c>
      <c r="S85" t="str">
        <f t="shared" si="1"/>
        <v>14Y42</v>
      </c>
    </row>
    <row r="86" spans="2:19" x14ac:dyDescent="0.3">
      <c r="B86" s="91">
        <v>45</v>
      </c>
      <c r="C86" s="91">
        <v>9</v>
      </c>
      <c r="D86" s="91">
        <v>78</v>
      </c>
      <c r="E86" s="91">
        <v>3</v>
      </c>
      <c r="F86" s="91">
        <v>7033</v>
      </c>
      <c r="G86" s="91">
        <v>6</v>
      </c>
      <c r="H86" s="91">
        <v>12</v>
      </c>
      <c r="I86" s="91">
        <v>2</v>
      </c>
      <c r="J86" s="91">
        <v>4</v>
      </c>
      <c r="K86" s="91">
        <v>1</v>
      </c>
      <c r="N86" s="93">
        <v>42</v>
      </c>
      <c r="Q86">
        <f t="shared" si="0"/>
        <v>4402</v>
      </c>
      <c r="S86" t="str">
        <f t="shared" si="1"/>
        <v>42Y8</v>
      </c>
    </row>
    <row r="87" spans="2:19" x14ac:dyDescent="0.3">
      <c r="B87" s="91">
        <v>46</v>
      </c>
      <c r="C87" s="91">
        <v>11</v>
      </c>
      <c r="D87" s="91">
        <v>75</v>
      </c>
      <c r="E87" s="91">
        <v>0</v>
      </c>
      <c r="F87" s="91">
        <v>11403</v>
      </c>
      <c r="G87" s="91">
        <v>6</v>
      </c>
      <c r="H87" s="91">
        <v>25</v>
      </c>
      <c r="I87" s="91">
        <v>6</v>
      </c>
      <c r="J87" s="91">
        <v>3</v>
      </c>
      <c r="K87" s="91">
        <v>6</v>
      </c>
      <c r="N87" s="93">
        <v>8</v>
      </c>
      <c r="Q87">
        <f t="shared" ref="Q87:Q104" si="2">ABS(B87-B88)+ABS(C87-C88)+ABS(D87-D88)+ABS(E87-E88)+ABS(F87-F88)+ABS(G87-G88)+ABS(H87-H88)+ABS(I87-I88)+ABS(J87-J88)+ABS((K87-K88))</f>
        <v>2088</v>
      </c>
      <c r="S87" t="str">
        <f t="shared" si="1"/>
        <v>8Y15</v>
      </c>
    </row>
    <row r="88" spans="2:19" x14ac:dyDescent="0.3">
      <c r="B88" s="91">
        <v>46</v>
      </c>
      <c r="C88" s="91">
        <v>7</v>
      </c>
      <c r="D88" s="91">
        <v>75</v>
      </c>
      <c r="E88" s="91">
        <v>5</v>
      </c>
      <c r="F88" s="91">
        <v>13465</v>
      </c>
      <c r="G88" s="91">
        <v>8</v>
      </c>
      <c r="H88" s="91">
        <v>27</v>
      </c>
      <c r="I88" s="91">
        <v>0</v>
      </c>
      <c r="J88" s="91">
        <v>6</v>
      </c>
      <c r="K88" s="91">
        <v>2</v>
      </c>
      <c r="N88" s="93">
        <v>15</v>
      </c>
      <c r="Q88">
        <f t="shared" si="2"/>
        <v>1026</v>
      </c>
      <c r="S88" t="str">
        <f t="shared" si="1"/>
        <v>15Y48</v>
      </c>
    </row>
    <row r="89" spans="2:19" x14ac:dyDescent="0.3">
      <c r="B89" s="91">
        <v>50</v>
      </c>
      <c r="C89" s="91">
        <v>8</v>
      </c>
      <c r="D89" s="91">
        <v>49</v>
      </c>
      <c r="E89" s="91">
        <v>3</v>
      </c>
      <c r="F89" s="91">
        <v>12487</v>
      </c>
      <c r="G89" s="91">
        <v>0</v>
      </c>
      <c r="H89" s="91">
        <v>25</v>
      </c>
      <c r="I89" s="91">
        <v>0</v>
      </c>
      <c r="J89" s="91">
        <v>4</v>
      </c>
      <c r="K89" s="91">
        <v>5</v>
      </c>
      <c r="N89" s="93">
        <v>48</v>
      </c>
      <c r="Q89">
        <f t="shared" si="2"/>
        <v>3570</v>
      </c>
      <c r="S89" t="str">
        <f t="shared" si="1"/>
        <v>48Y44</v>
      </c>
    </row>
    <row r="90" spans="2:19" x14ac:dyDescent="0.3">
      <c r="B90" s="91">
        <v>51</v>
      </c>
      <c r="C90" s="91">
        <v>12</v>
      </c>
      <c r="D90" s="91">
        <v>143</v>
      </c>
      <c r="E90" s="91">
        <v>0</v>
      </c>
      <c r="F90" s="91">
        <v>9049</v>
      </c>
      <c r="G90" s="91">
        <v>3</v>
      </c>
      <c r="H90" s="91">
        <v>5</v>
      </c>
      <c r="I90" s="91">
        <v>4</v>
      </c>
      <c r="J90" s="91">
        <v>4</v>
      </c>
      <c r="K90" s="91">
        <v>2</v>
      </c>
      <c r="N90" s="93">
        <v>44</v>
      </c>
      <c r="Q90">
        <f t="shared" si="2"/>
        <v>3086</v>
      </c>
      <c r="S90" t="str">
        <f t="shared" si="1"/>
        <v>44Y50</v>
      </c>
    </row>
    <row r="91" spans="2:19" x14ac:dyDescent="0.3">
      <c r="B91" s="91">
        <v>51</v>
      </c>
      <c r="C91" s="91">
        <v>6</v>
      </c>
      <c r="D91" s="91">
        <v>24</v>
      </c>
      <c r="E91" s="91">
        <v>4</v>
      </c>
      <c r="F91" s="91">
        <v>6116</v>
      </c>
      <c r="G91" s="91">
        <v>7</v>
      </c>
      <c r="H91" s="91">
        <v>19</v>
      </c>
      <c r="I91" s="91">
        <v>6</v>
      </c>
      <c r="J91" s="91">
        <v>7</v>
      </c>
      <c r="K91" s="91">
        <v>1</v>
      </c>
      <c r="N91" s="93">
        <v>50</v>
      </c>
      <c r="Q91">
        <f t="shared" si="2"/>
        <v>2981</v>
      </c>
      <c r="S91" t="str">
        <f t="shared" si="1"/>
        <v>50Y38</v>
      </c>
    </row>
    <row r="92" spans="2:19" x14ac:dyDescent="0.3">
      <c r="B92" s="91">
        <v>52</v>
      </c>
      <c r="C92" s="91">
        <v>4</v>
      </c>
      <c r="D92" s="91">
        <v>140</v>
      </c>
      <c r="E92" s="91">
        <v>0</v>
      </c>
      <c r="F92" s="91">
        <v>3276</v>
      </c>
      <c r="G92" s="91">
        <v>8</v>
      </c>
      <c r="H92" s="91">
        <v>8</v>
      </c>
      <c r="I92" s="91">
        <v>6</v>
      </c>
      <c r="J92" s="91">
        <v>4</v>
      </c>
      <c r="K92" s="91">
        <v>4</v>
      </c>
      <c r="N92" s="93">
        <v>38</v>
      </c>
      <c r="Q92">
        <f t="shared" si="2"/>
        <v>167</v>
      </c>
      <c r="S92" t="str">
        <f t="shared" si="1"/>
        <v>38Y30</v>
      </c>
    </row>
    <row r="93" spans="2:19" x14ac:dyDescent="0.3">
      <c r="B93" s="91">
        <v>53</v>
      </c>
      <c r="C93" s="91">
        <v>7</v>
      </c>
      <c r="D93" s="91">
        <v>6</v>
      </c>
      <c r="E93" s="91">
        <v>1</v>
      </c>
      <c r="F93" s="91">
        <v>3267</v>
      </c>
      <c r="G93" s="91">
        <v>9</v>
      </c>
      <c r="H93" s="91">
        <v>23</v>
      </c>
      <c r="I93" s="91">
        <v>6</v>
      </c>
      <c r="J93" s="91">
        <v>5</v>
      </c>
      <c r="K93" s="91">
        <v>2</v>
      </c>
      <c r="N93" s="93">
        <v>30</v>
      </c>
      <c r="Q93">
        <f t="shared" si="2"/>
        <v>3239</v>
      </c>
      <c r="S93" t="str">
        <f t="shared" si="1"/>
        <v>30Y6</v>
      </c>
    </row>
    <row r="94" spans="2:19" x14ac:dyDescent="0.3">
      <c r="B94" s="91">
        <v>54</v>
      </c>
      <c r="C94" s="91">
        <v>7</v>
      </c>
      <c r="D94" s="91">
        <v>21</v>
      </c>
      <c r="E94" s="91">
        <v>4</v>
      </c>
      <c r="F94" s="91">
        <v>6463</v>
      </c>
      <c r="G94" s="91">
        <v>7</v>
      </c>
      <c r="H94" s="91">
        <v>9</v>
      </c>
      <c r="I94" s="91">
        <v>6</v>
      </c>
      <c r="J94" s="91">
        <v>2</v>
      </c>
      <c r="K94" s="91">
        <v>7</v>
      </c>
      <c r="N94" s="93">
        <v>6</v>
      </c>
      <c r="Q94">
        <f t="shared" si="2"/>
        <v>172</v>
      </c>
      <c r="S94" t="str">
        <f t="shared" si="1"/>
        <v>6Y31</v>
      </c>
    </row>
    <row r="95" spans="2:19" x14ac:dyDescent="0.3">
      <c r="B95" s="91">
        <v>54</v>
      </c>
      <c r="C95" s="91">
        <v>2</v>
      </c>
      <c r="D95" s="91">
        <v>100</v>
      </c>
      <c r="E95" s="91">
        <v>0</v>
      </c>
      <c r="F95" s="91">
        <v>6537</v>
      </c>
      <c r="G95" s="91">
        <v>6</v>
      </c>
      <c r="H95" s="91">
        <v>13</v>
      </c>
      <c r="I95" s="91">
        <v>5</v>
      </c>
      <c r="J95" s="91">
        <v>3</v>
      </c>
      <c r="K95" s="91">
        <v>4</v>
      </c>
      <c r="N95" s="93">
        <v>31</v>
      </c>
      <c r="Q95">
        <f t="shared" si="2"/>
        <v>2675</v>
      </c>
      <c r="S95" t="str">
        <f t="shared" si="1"/>
        <v>31Y26</v>
      </c>
    </row>
    <row r="96" spans="2:19" x14ac:dyDescent="0.3">
      <c r="B96" s="91">
        <v>55</v>
      </c>
      <c r="C96" s="91">
        <v>1</v>
      </c>
      <c r="D96" s="91">
        <v>82</v>
      </c>
      <c r="E96" s="91">
        <v>4</v>
      </c>
      <c r="F96" s="91">
        <v>9171</v>
      </c>
      <c r="G96" s="91">
        <v>0</v>
      </c>
      <c r="H96" s="91">
        <v>7</v>
      </c>
      <c r="I96" s="91">
        <v>5</v>
      </c>
      <c r="J96" s="91">
        <v>7</v>
      </c>
      <c r="K96" s="91">
        <v>5</v>
      </c>
      <c r="N96" s="93">
        <v>26</v>
      </c>
      <c r="Q96">
        <f t="shared" si="2"/>
        <v>1302</v>
      </c>
      <c r="S96" t="str">
        <f t="shared" si="1"/>
        <v>26Y43</v>
      </c>
    </row>
    <row r="97" spans="2:19" x14ac:dyDescent="0.3">
      <c r="B97" s="91">
        <v>57</v>
      </c>
      <c r="C97" s="91">
        <v>12</v>
      </c>
      <c r="D97" s="91">
        <v>136</v>
      </c>
      <c r="E97" s="91">
        <v>3</v>
      </c>
      <c r="F97" s="91">
        <v>10384</v>
      </c>
      <c r="G97" s="91">
        <v>2</v>
      </c>
      <c r="H97" s="91">
        <v>18</v>
      </c>
      <c r="I97" s="91">
        <v>3</v>
      </c>
      <c r="J97" s="91">
        <v>2</v>
      </c>
      <c r="K97" s="91">
        <v>6</v>
      </c>
      <c r="N97" s="93">
        <v>43</v>
      </c>
      <c r="Q97">
        <f t="shared" si="2"/>
        <v>2960</v>
      </c>
      <c r="S97" t="str">
        <f t="shared" si="1"/>
        <v>43Y36</v>
      </c>
    </row>
    <row r="98" spans="2:19" x14ac:dyDescent="0.3">
      <c r="B98" s="91">
        <v>59</v>
      </c>
      <c r="C98" s="91">
        <v>11</v>
      </c>
      <c r="D98" s="91">
        <v>143</v>
      </c>
      <c r="E98" s="91">
        <v>1</v>
      </c>
      <c r="F98" s="91">
        <v>13324</v>
      </c>
      <c r="G98" s="91">
        <v>5</v>
      </c>
      <c r="H98" s="91">
        <v>20</v>
      </c>
      <c r="I98" s="91">
        <v>4</v>
      </c>
      <c r="J98" s="91">
        <v>3</v>
      </c>
      <c r="K98" s="91">
        <v>5</v>
      </c>
      <c r="N98" s="93">
        <v>36</v>
      </c>
      <c r="Q98">
        <f t="shared" si="2"/>
        <v>7681</v>
      </c>
      <c r="S98" t="str">
        <f t="shared" si="1"/>
        <v>36Y41</v>
      </c>
    </row>
    <row r="99" spans="2:19" x14ac:dyDescent="0.3">
      <c r="B99" s="91">
        <v>59</v>
      </c>
      <c r="C99" s="91">
        <v>7</v>
      </c>
      <c r="D99" s="91">
        <v>19</v>
      </c>
      <c r="E99" s="91">
        <v>4</v>
      </c>
      <c r="F99" s="91">
        <v>5789</v>
      </c>
      <c r="G99" s="91">
        <v>4</v>
      </c>
      <c r="H99" s="91">
        <v>27</v>
      </c>
      <c r="I99" s="91">
        <v>6</v>
      </c>
      <c r="J99" s="91">
        <v>7</v>
      </c>
      <c r="K99" s="91">
        <v>6</v>
      </c>
      <c r="N99" s="93">
        <v>41</v>
      </c>
      <c r="Q99">
        <f t="shared" si="2"/>
        <v>8826</v>
      </c>
      <c r="S99" t="str">
        <f t="shared" si="1"/>
        <v>41Y17</v>
      </c>
    </row>
    <row r="100" spans="2:19" x14ac:dyDescent="0.3">
      <c r="B100" s="91">
        <v>60</v>
      </c>
      <c r="C100" s="91">
        <v>11</v>
      </c>
      <c r="D100" s="91">
        <v>38</v>
      </c>
      <c r="E100" s="91">
        <v>5</v>
      </c>
      <c r="F100" s="91">
        <v>14580</v>
      </c>
      <c r="G100" s="91">
        <v>4</v>
      </c>
      <c r="H100" s="91">
        <v>26</v>
      </c>
      <c r="I100" s="91">
        <v>6</v>
      </c>
      <c r="J100" s="91">
        <v>2</v>
      </c>
      <c r="K100" s="91">
        <v>2</v>
      </c>
      <c r="N100" s="93">
        <v>17</v>
      </c>
      <c r="Q100">
        <f t="shared" si="2"/>
        <v>10692</v>
      </c>
      <c r="S100" t="str">
        <f t="shared" si="1"/>
        <v>17Y19</v>
      </c>
    </row>
    <row r="101" spans="2:19" x14ac:dyDescent="0.3">
      <c r="B101" s="91">
        <v>60</v>
      </c>
      <c r="C101" s="91">
        <v>6</v>
      </c>
      <c r="D101" s="91">
        <v>15</v>
      </c>
      <c r="E101" s="91">
        <v>0</v>
      </c>
      <c r="F101" s="91">
        <v>3954</v>
      </c>
      <c r="G101" s="91">
        <v>7</v>
      </c>
      <c r="H101" s="91">
        <v>6</v>
      </c>
      <c r="I101" s="91">
        <v>0</v>
      </c>
      <c r="J101" s="91">
        <v>1</v>
      </c>
      <c r="K101" s="91">
        <v>5</v>
      </c>
      <c r="N101" s="93">
        <v>19</v>
      </c>
      <c r="Q101">
        <f t="shared" si="2"/>
        <v>6238</v>
      </c>
      <c r="S101" t="str">
        <f t="shared" si="1"/>
        <v>19Y34</v>
      </c>
    </row>
    <row r="102" spans="2:19" x14ac:dyDescent="0.3">
      <c r="B102" s="91">
        <v>60</v>
      </c>
      <c r="C102" s="91">
        <v>9</v>
      </c>
      <c r="D102" s="91">
        <v>131</v>
      </c>
      <c r="E102" s="91">
        <v>3</v>
      </c>
      <c r="F102" s="91">
        <v>10060</v>
      </c>
      <c r="G102" s="91">
        <v>9</v>
      </c>
      <c r="H102" s="91">
        <v>0</v>
      </c>
      <c r="I102" s="91">
        <v>1</v>
      </c>
      <c r="J102" s="91">
        <v>1</v>
      </c>
      <c r="K102" s="91">
        <v>4</v>
      </c>
      <c r="N102" s="93">
        <v>34</v>
      </c>
      <c r="Q102">
        <f t="shared" si="2"/>
        <v>860</v>
      </c>
      <c r="S102" t="str">
        <f t="shared" si="1"/>
        <v>34Y10</v>
      </c>
    </row>
    <row r="103" spans="2:19" x14ac:dyDescent="0.3">
      <c r="B103" s="91">
        <v>64</v>
      </c>
      <c r="C103" s="91">
        <v>4</v>
      </c>
      <c r="D103" s="91">
        <v>91</v>
      </c>
      <c r="E103" s="91">
        <v>1</v>
      </c>
      <c r="F103" s="91">
        <v>10858</v>
      </c>
      <c r="G103" s="91">
        <v>9</v>
      </c>
      <c r="H103" s="91">
        <v>3</v>
      </c>
      <c r="I103" s="91">
        <v>2</v>
      </c>
      <c r="J103" s="91">
        <v>6</v>
      </c>
      <c r="K103" s="91">
        <v>2</v>
      </c>
      <c r="N103" s="93">
        <v>10</v>
      </c>
      <c r="Q103">
        <f t="shared" si="2"/>
        <v>2935</v>
      </c>
      <c r="S103" t="str">
        <f t="shared" si="1"/>
        <v>10Y13</v>
      </c>
    </row>
    <row r="104" spans="2:19" x14ac:dyDescent="0.3">
      <c r="B104" s="91">
        <v>65</v>
      </c>
      <c r="C104" s="91">
        <v>6</v>
      </c>
      <c r="D104" s="91">
        <v>18</v>
      </c>
      <c r="E104" s="91">
        <v>0</v>
      </c>
      <c r="F104" s="91">
        <v>13685</v>
      </c>
      <c r="G104" s="91">
        <v>2</v>
      </c>
      <c r="H104" s="91">
        <v>16</v>
      </c>
      <c r="I104" s="91">
        <v>7</v>
      </c>
      <c r="J104" s="91">
        <v>5</v>
      </c>
      <c r="K104" s="91">
        <v>7</v>
      </c>
      <c r="N104" s="93">
        <v>13</v>
      </c>
      <c r="Q104" s="84">
        <f t="shared" si="2"/>
        <v>13811</v>
      </c>
    </row>
  </sheetData>
  <sortState xmlns:xlrd2="http://schemas.microsoft.com/office/spreadsheetml/2017/richdata2" ref="B55:L104">
    <sortCondition ref="B55:B104"/>
  </sortState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CD87B08C28584F832B3E6B51211A57" ma:contentTypeVersion="24" ma:contentTypeDescription="Crear nuevo documento." ma:contentTypeScope="" ma:versionID="1249f2d088d7f976c0c6e4eb04212469">
  <xsd:schema xmlns:xsd="http://www.w3.org/2001/XMLSchema" xmlns:xs="http://www.w3.org/2001/XMLSchema" xmlns:p="http://schemas.microsoft.com/office/2006/metadata/properties" xmlns:ns2="18c9332a-cde2-4c6a-8811-12459cdb2b06" targetNamespace="http://schemas.microsoft.com/office/2006/metadata/properties" ma:root="true" ma:fieldsID="9cd1423b1cc3d281ce1b1da7613e5559" ns2:_="">
    <xsd:import namespace="18c9332a-cde2-4c6a-8811-12459cdb2b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9332a-cde2-4c6a-8811-12459cdb2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msChannelId" ma:index="15" nillable="true" ma:displayName="Teams Channel Id" ma:internalName="TeamsChannelId">
      <xsd:simpleType>
        <xsd:restriction base="dms:Text"/>
      </xsd:simpleType>
    </xsd:element>
    <xsd:element name="Owner" ma:index="16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7" nillable="true" ma:displayName="Math Settings" ma:internalName="Math_Settings">
      <xsd:simpleType>
        <xsd:restriction base="dms:Text"/>
      </xsd:simpleType>
    </xsd:element>
    <xsd:element name="DefaultSectionNames" ma:index="18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9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0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1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2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3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4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5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6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7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8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9" nillable="true" ma:displayName="Is Collaboration Space Locked" ma:internalName="Is_Collaboration_Space_Locked">
      <xsd:simpleType>
        <xsd:restriction base="dms:Boolean"/>
      </xsd:simpleType>
    </xsd:element>
    <xsd:element name="IsNotebookLocked" ma:index="30" nillable="true" ma:displayName="Is Notebook Locked" ma:internalName="IsNotebookLocked">
      <xsd:simpleType>
        <xsd:restriction base="dms:Boolean"/>
      </xsd:simpleType>
    </xsd:element>
    <xsd:element name="Teams_Channel_Section_Location" ma:index="31" nillable="true" ma:displayName="Teams Channel Section Location" ma:internalName="Teams_Channel_Section_Locat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18c9332a-cde2-4c6a-8811-12459cdb2b06" xsi:nil="true"/>
    <Students xmlns="18c9332a-cde2-4c6a-8811-12459cdb2b06">
      <UserInfo>
        <DisplayName/>
        <AccountId xsi:nil="true"/>
        <AccountType/>
      </UserInfo>
    </Students>
    <Student_Groups xmlns="18c9332a-cde2-4c6a-8811-12459cdb2b06">
      <UserInfo>
        <DisplayName/>
        <AccountId xsi:nil="true"/>
        <AccountType/>
      </UserInfo>
    </Student_Groups>
    <AppVersion xmlns="18c9332a-cde2-4c6a-8811-12459cdb2b06" xsi:nil="true"/>
    <LMS_Mappings xmlns="18c9332a-cde2-4c6a-8811-12459cdb2b06" xsi:nil="true"/>
    <Invited_Teachers xmlns="18c9332a-cde2-4c6a-8811-12459cdb2b06" xsi:nil="true"/>
    <Invited_Students xmlns="18c9332a-cde2-4c6a-8811-12459cdb2b06" xsi:nil="true"/>
    <Teams_Channel_Section_Location xmlns="18c9332a-cde2-4c6a-8811-12459cdb2b06" xsi:nil="true"/>
    <Templates xmlns="18c9332a-cde2-4c6a-8811-12459cdb2b06" xsi:nil="true"/>
    <Has_Teacher_Only_SectionGroup xmlns="18c9332a-cde2-4c6a-8811-12459cdb2b06" xsi:nil="true"/>
    <CultureName xmlns="18c9332a-cde2-4c6a-8811-12459cdb2b06" xsi:nil="true"/>
    <DefaultSectionNames xmlns="18c9332a-cde2-4c6a-8811-12459cdb2b06" xsi:nil="true"/>
    <Math_Settings xmlns="18c9332a-cde2-4c6a-8811-12459cdb2b06" xsi:nil="true"/>
    <Self_Registration_Enabled xmlns="18c9332a-cde2-4c6a-8811-12459cdb2b06" xsi:nil="true"/>
    <Teachers xmlns="18c9332a-cde2-4c6a-8811-12459cdb2b06">
      <UserInfo>
        <DisplayName/>
        <AccountId xsi:nil="true"/>
        <AccountType/>
      </UserInfo>
    </Teachers>
    <Is_Collaboration_Space_Locked xmlns="18c9332a-cde2-4c6a-8811-12459cdb2b06" xsi:nil="true"/>
    <NotebookType xmlns="18c9332a-cde2-4c6a-8811-12459cdb2b06" xsi:nil="true"/>
    <Distribution_Groups xmlns="18c9332a-cde2-4c6a-8811-12459cdb2b06" xsi:nil="true"/>
    <IsNotebookLocked xmlns="18c9332a-cde2-4c6a-8811-12459cdb2b06" xsi:nil="true"/>
    <FolderType xmlns="18c9332a-cde2-4c6a-8811-12459cdb2b06" xsi:nil="true"/>
    <Owner xmlns="18c9332a-cde2-4c6a-8811-12459cdb2b06">
      <UserInfo>
        <DisplayName/>
        <AccountId xsi:nil="true"/>
        <AccountType/>
      </UserInfo>
    </Own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1C25EA-8247-41A0-8A87-22829DFF2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c9332a-cde2-4c6a-8811-12459cdb2b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4AAF81-F7A4-4664-AAF4-C75F99E27A44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18c9332a-cde2-4c6a-8811-12459cdb2b06"/>
  </ds:schemaRefs>
</ds:datastoreItem>
</file>

<file path=customXml/itemProps3.xml><?xml version="1.0" encoding="utf-8"?>
<ds:datastoreItem xmlns:ds="http://schemas.openxmlformats.org/officeDocument/2006/customXml" ds:itemID="{C9E7ACD2-941B-423E-899F-1FF91055D9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Hoja1</vt:lpstr>
      <vt:lpstr>Hoja4</vt:lpstr>
      <vt:lpstr>Hoja2</vt:lpstr>
      <vt:lpstr>Hoja3</vt:lpstr>
      <vt:lpstr>DATOS_COPIA</vt:lpstr>
      <vt:lpstr>Hoja2 (2)</vt:lpstr>
      <vt:lpstr>ejercicio 1 word </vt:lpstr>
      <vt:lpstr>ejercicio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Marcelo Soto Pérez</dc:creator>
  <cp:keywords/>
  <dc:description/>
  <cp:lastModifiedBy>JESSICA ALEJANDRA GARZA ELIZONDO</cp:lastModifiedBy>
  <cp:revision/>
  <dcterms:created xsi:type="dcterms:W3CDTF">2021-05-06T15:39:30Z</dcterms:created>
  <dcterms:modified xsi:type="dcterms:W3CDTF">2025-10-26T03:34:26Z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0x010100CBCD87B08C28584F832B3E6B51211A57</vt:lpwstr>
  </property>
</Properties>
</file>